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ike\Desktop\DADOS\EXCEL\DASHBOARD E TABELA DINÂMICA\DASH BRABO\"/>
    </mc:Choice>
  </mc:AlternateContent>
  <xr:revisionPtr revIDLastSave="0" documentId="13_ncr:1_{C1373A54-E159-46F9-86AF-0240B2479233}" xr6:coauthVersionLast="47" xr6:coauthVersionMax="47" xr10:uidLastSave="{00000000-0000-0000-0000-000000000000}"/>
  <workbookProtection workbookAlgorithmName="SHA-512" workbookHashValue="lirHyTafmC2ZrucIaW29xDSBiZv80dIs7K+paCB++8TdWOmrUPjwdudYbjYihkaQyTeJg54G3YJpcEIVYrSn6Q==" workbookSaltValue="Ks6e9TWcScmR4RaREy8IQg==" workbookSpinCount="100000" lockStructure="1"/>
  <bookViews>
    <workbookView xWindow="-108" yWindow="-108" windowWidth="23256" windowHeight="12456" activeTab="2" xr2:uid="{A6417F27-DCD0-4E6C-9D29-57B48A9BF817}"/>
  </bookViews>
  <sheets>
    <sheet name="BaseAssinantes" sheetId="1" r:id="rId1"/>
    <sheet name="Análise" sheetId="8" state="hidden" r:id="rId2"/>
    <sheet name="Dashboard" sheetId="6" r:id="rId3"/>
  </sheets>
  <definedNames>
    <definedName name="_xlnm._FilterDatabase" localSheetId="0" hidden="1">BaseAssinantes!$B$2:$I$804</definedName>
    <definedName name="_xlchart.v5.0" hidden="1">Análise!$U$10</definedName>
    <definedName name="_xlchart.v5.1" hidden="1">Análise!$U$11:$U$13</definedName>
    <definedName name="_xlchart.v5.2" hidden="1">Análise!$V$10</definedName>
    <definedName name="_xlchart.v5.3" hidden="1">Análise!$V$11:$V$13</definedName>
    <definedName name="SegmentaçãodeDados_Assinatura">#N/A</definedName>
    <definedName name="SegmentaçãodeDados_Faixa_Etária">#N/A</definedName>
    <definedName name="SegmentaçãodeDados_Gênero">#N/A</definedName>
    <definedName name="SegmentaçãodeDados_Região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7" i="8" l="1"/>
  <c r="AA18" i="8"/>
  <c r="AA19" i="8"/>
  <c r="AA20" i="8"/>
  <c r="AA21" i="8"/>
  <c r="AA22" i="8"/>
  <c r="AA23" i="8"/>
  <c r="AA16" i="8"/>
  <c r="AB17" i="8"/>
  <c r="AB18" i="8"/>
  <c r="AB19" i="8"/>
  <c r="AB20" i="8"/>
  <c r="AB21" i="8"/>
  <c r="AB22" i="8"/>
  <c r="AB23" i="8"/>
  <c r="AB16" i="8"/>
  <c r="O14" i="8"/>
  <c r="P14" i="8"/>
  <c r="O15" i="8"/>
  <c r="P15" i="8"/>
  <c r="O16" i="8"/>
  <c r="P16" i="8"/>
  <c r="P13" i="8"/>
  <c r="O13" i="8"/>
  <c r="V13" i="8"/>
  <c r="V11" i="8"/>
  <c r="V12" i="8"/>
  <c r="C11" i="8"/>
  <c r="C10" i="8"/>
  <c r="W11" i="8" l="1"/>
  <c r="W12" i="8"/>
  <c r="W13" i="8"/>
  <c r="Q13" i="8"/>
  <c r="P17" i="8"/>
  <c r="Q17" i="8" s="1"/>
  <c r="Q16" i="8"/>
  <c r="Q15" i="8"/>
  <c r="Q14" i="8"/>
  <c r="L3" i="1" l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5" i="1"/>
  <c r="M55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3" i="1"/>
  <c r="M83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5" i="1"/>
  <c r="M115" i="1" s="1"/>
  <c r="L116" i="1"/>
  <c r="M116" i="1" s="1"/>
  <c r="L117" i="1"/>
  <c r="M117" i="1" s="1"/>
  <c r="L118" i="1"/>
  <c r="M118" i="1" s="1"/>
  <c r="L119" i="1"/>
  <c r="M119" i="1" s="1"/>
  <c r="L120" i="1"/>
  <c r="M120" i="1" s="1"/>
  <c r="L121" i="1"/>
  <c r="M121" i="1" s="1"/>
  <c r="L122" i="1"/>
  <c r="M122" i="1" s="1"/>
  <c r="L123" i="1"/>
  <c r="M123" i="1" s="1"/>
  <c r="L124" i="1"/>
  <c r="M124" i="1" s="1"/>
  <c r="L125" i="1"/>
  <c r="M125" i="1" s="1"/>
  <c r="L126" i="1"/>
  <c r="M126" i="1" s="1"/>
  <c r="L127" i="1"/>
  <c r="M127" i="1" s="1"/>
  <c r="L128" i="1"/>
  <c r="M128" i="1" s="1"/>
  <c r="L129" i="1"/>
  <c r="M129" i="1" s="1"/>
  <c r="L130" i="1"/>
  <c r="M130" i="1" s="1"/>
  <c r="L131" i="1"/>
  <c r="M131" i="1" s="1"/>
  <c r="L132" i="1"/>
  <c r="M132" i="1" s="1"/>
  <c r="L133" i="1"/>
  <c r="M133" i="1" s="1"/>
  <c r="L134" i="1"/>
  <c r="M134" i="1" s="1"/>
  <c r="L135" i="1"/>
  <c r="M135" i="1" s="1"/>
  <c r="L136" i="1"/>
  <c r="M136" i="1" s="1"/>
  <c r="L137" i="1"/>
  <c r="M137" i="1" s="1"/>
  <c r="L138" i="1"/>
  <c r="M138" i="1" s="1"/>
  <c r="L139" i="1"/>
  <c r="M139" i="1" s="1"/>
  <c r="L140" i="1"/>
  <c r="M140" i="1" s="1"/>
  <c r="L141" i="1"/>
  <c r="M141" i="1" s="1"/>
  <c r="L142" i="1"/>
  <c r="M142" i="1" s="1"/>
  <c r="L143" i="1"/>
  <c r="M143" i="1" s="1"/>
  <c r="L144" i="1"/>
  <c r="M144" i="1" s="1"/>
  <c r="L145" i="1"/>
  <c r="M145" i="1" s="1"/>
  <c r="L146" i="1"/>
  <c r="M146" i="1" s="1"/>
  <c r="L147" i="1"/>
  <c r="M147" i="1" s="1"/>
  <c r="L148" i="1"/>
  <c r="M148" i="1" s="1"/>
  <c r="L149" i="1"/>
  <c r="M149" i="1" s="1"/>
  <c r="L150" i="1"/>
  <c r="M150" i="1" s="1"/>
  <c r="L151" i="1"/>
  <c r="M151" i="1" s="1"/>
  <c r="L152" i="1"/>
  <c r="M152" i="1" s="1"/>
  <c r="L153" i="1"/>
  <c r="M153" i="1" s="1"/>
  <c r="L154" i="1"/>
  <c r="M154" i="1" s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L161" i="1"/>
  <c r="M161" i="1" s="1"/>
  <c r="L162" i="1"/>
  <c r="M162" i="1" s="1"/>
  <c r="L163" i="1"/>
  <c r="M163" i="1" s="1"/>
  <c r="L164" i="1"/>
  <c r="M164" i="1" s="1"/>
  <c r="L165" i="1"/>
  <c r="M165" i="1" s="1"/>
  <c r="L166" i="1"/>
  <c r="M166" i="1" s="1"/>
  <c r="L167" i="1"/>
  <c r="M167" i="1" s="1"/>
  <c r="L168" i="1"/>
  <c r="M168" i="1" s="1"/>
  <c r="L169" i="1"/>
  <c r="M169" i="1" s="1"/>
  <c r="L170" i="1"/>
  <c r="M170" i="1" s="1"/>
  <c r="L171" i="1"/>
  <c r="M171" i="1" s="1"/>
  <c r="L172" i="1"/>
  <c r="M172" i="1" s="1"/>
  <c r="L173" i="1"/>
  <c r="M173" i="1" s="1"/>
  <c r="L174" i="1"/>
  <c r="M174" i="1" s="1"/>
  <c r="L175" i="1"/>
  <c r="M175" i="1" s="1"/>
  <c r="L176" i="1"/>
  <c r="M176" i="1" s="1"/>
  <c r="L177" i="1"/>
  <c r="M177" i="1" s="1"/>
  <c r="L178" i="1"/>
  <c r="M178" i="1" s="1"/>
  <c r="L179" i="1"/>
  <c r="M179" i="1" s="1"/>
  <c r="L180" i="1"/>
  <c r="M180" i="1" s="1"/>
  <c r="L181" i="1"/>
  <c r="M181" i="1" s="1"/>
  <c r="L182" i="1"/>
  <c r="M182" i="1" s="1"/>
  <c r="L183" i="1"/>
  <c r="M183" i="1" s="1"/>
  <c r="L184" i="1"/>
  <c r="M184" i="1" s="1"/>
  <c r="L185" i="1"/>
  <c r="M185" i="1" s="1"/>
  <c r="L186" i="1"/>
  <c r="M186" i="1" s="1"/>
  <c r="L187" i="1"/>
  <c r="M187" i="1" s="1"/>
  <c r="L188" i="1"/>
  <c r="M188" i="1" s="1"/>
  <c r="L189" i="1"/>
  <c r="M189" i="1" s="1"/>
  <c r="L190" i="1"/>
  <c r="M190" i="1" s="1"/>
  <c r="L191" i="1"/>
  <c r="M191" i="1" s="1"/>
  <c r="L192" i="1"/>
  <c r="M192" i="1" s="1"/>
  <c r="L193" i="1"/>
  <c r="M193" i="1" s="1"/>
  <c r="L194" i="1"/>
  <c r="M194" i="1" s="1"/>
  <c r="L195" i="1"/>
  <c r="M195" i="1" s="1"/>
  <c r="L196" i="1"/>
  <c r="M196" i="1" s="1"/>
  <c r="L197" i="1"/>
  <c r="M197" i="1" s="1"/>
  <c r="L198" i="1"/>
  <c r="M198" i="1" s="1"/>
  <c r="L199" i="1"/>
  <c r="M199" i="1" s="1"/>
  <c r="L200" i="1"/>
  <c r="M200" i="1" s="1"/>
  <c r="L201" i="1"/>
  <c r="M201" i="1" s="1"/>
  <c r="L202" i="1"/>
  <c r="M202" i="1" s="1"/>
  <c r="L203" i="1"/>
  <c r="M203" i="1" s="1"/>
  <c r="L204" i="1"/>
  <c r="M204" i="1" s="1"/>
  <c r="L205" i="1"/>
  <c r="M205" i="1" s="1"/>
  <c r="L206" i="1"/>
  <c r="M206" i="1" s="1"/>
  <c r="L207" i="1"/>
  <c r="M207" i="1" s="1"/>
  <c r="L208" i="1"/>
  <c r="M208" i="1" s="1"/>
  <c r="L209" i="1"/>
  <c r="M209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3" i="1"/>
  <c r="M233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1" i="1"/>
  <c r="M261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8" i="1"/>
  <c r="M288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7" i="1"/>
  <c r="M437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5" i="1"/>
  <c r="M465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615" i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7" i="1"/>
  <c r="M637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5" i="1"/>
  <c r="M665" i="1" s="1"/>
  <c r="L666" i="1"/>
  <c r="M666" i="1" s="1"/>
  <c r="L667" i="1"/>
  <c r="M667" i="1" s="1"/>
  <c r="L668" i="1"/>
  <c r="M668" i="1" s="1"/>
  <c r="L669" i="1"/>
  <c r="M669" i="1" s="1"/>
  <c r="L670" i="1"/>
  <c r="M670" i="1" s="1"/>
  <c r="L671" i="1"/>
  <c r="M671" i="1" s="1"/>
  <c r="L672" i="1"/>
  <c r="M672" i="1" s="1"/>
  <c r="L673" i="1"/>
  <c r="M673" i="1" s="1"/>
  <c r="L674" i="1"/>
  <c r="M674" i="1" s="1"/>
  <c r="L675" i="1"/>
  <c r="M675" i="1" s="1"/>
  <c r="L676" i="1"/>
  <c r="M676" i="1" s="1"/>
  <c r="L677" i="1"/>
  <c r="M677" i="1" s="1"/>
  <c r="L678" i="1"/>
  <c r="M678" i="1" s="1"/>
  <c r="L679" i="1"/>
  <c r="M679" i="1" s="1"/>
  <c r="L680" i="1"/>
  <c r="M680" i="1" s="1"/>
  <c r="L681" i="1"/>
  <c r="M681" i="1" s="1"/>
  <c r="L682" i="1"/>
  <c r="M682" i="1" s="1"/>
  <c r="L683" i="1"/>
  <c r="M683" i="1" s="1"/>
  <c r="L684" i="1"/>
  <c r="M684" i="1" s="1"/>
  <c r="L685" i="1"/>
  <c r="M685" i="1" s="1"/>
  <c r="L686" i="1"/>
  <c r="M686" i="1" s="1"/>
  <c r="L687" i="1"/>
  <c r="M687" i="1" s="1"/>
  <c r="L688" i="1"/>
  <c r="M688" i="1" s="1"/>
  <c r="L689" i="1"/>
  <c r="M689" i="1" s="1"/>
  <c r="L690" i="1"/>
  <c r="M690" i="1" s="1"/>
  <c r="L691" i="1"/>
  <c r="M691" i="1" s="1"/>
  <c r="L692" i="1"/>
  <c r="M692" i="1" s="1"/>
  <c r="L693" i="1"/>
  <c r="M693" i="1" s="1"/>
  <c r="L694" i="1"/>
  <c r="M694" i="1" s="1"/>
  <c r="L695" i="1"/>
  <c r="M695" i="1" s="1"/>
  <c r="L696" i="1"/>
  <c r="M696" i="1" s="1"/>
  <c r="L697" i="1"/>
  <c r="M697" i="1" s="1"/>
  <c r="L698" i="1"/>
  <c r="M698" i="1" s="1"/>
  <c r="L699" i="1"/>
  <c r="M699" i="1" s="1"/>
  <c r="L700" i="1"/>
  <c r="M700" i="1" s="1"/>
  <c r="L701" i="1"/>
  <c r="M701" i="1" s="1"/>
  <c r="L702" i="1"/>
  <c r="M702" i="1" s="1"/>
  <c r="L703" i="1"/>
  <c r="M703" i="1" s="1"/>
  <c r="L704" i="1"/>
  <c r="M704" i="1" s="1"/>
  <c r="L705" i="1"/>
  <c r="M705" i="1" s="1"/>
  <c r="L706" i="1"/>
  <c r="M706" i="1" s="1"/>
  <c r="L707" i="1"/>
  <c r="M707" i="1" s="1"/>
  <c r="L708" i="1"/>
  <c r="M708" i="1" s="1"/>
  <c r="L709" i="1"/>
  <c r="M709" i="1" s="1"/>
  <c r="L710" i="1"/>
  <c r="M710" i="1" s="1"/>
  <c r="L711" i="1"/>
  <c r="M711" i="1" s="1"/>
  <c r="L712" i="1"/>
  <c r="M712" i="1" s="1"/>
  <c r="L713" i="1"/>
  <c r="M713" i="1" s="1"/>
  <c r="L714" i="1"/>
  <c r="M714" i="1" s="1"/>
  <c r="L715" i="1"/>
  <c r="M715" i="1" s="1"/>
  <c r="L716" i="1"/>
  <c r="M716" i="1" s="1"/>
  <c r="L717" i="1"/>
  <c r="M717" i="1" s="1"/>
  <c r="L718" i="1"/>
  <c r="M718" i="1" s="1"/>
  <c r="L719" i="1"/>
  <c r="M719" i="1" s="1"/>
  <c r="L720" i="1"/>
  <c r="M720" i="1" s="1"/>
  <c r="L721" i="1"/>
  <c r="M721" i="1" s="1"/>
  <c r="L722" i="1"/>
  <c r="M722" i="1" s="1"/>
  <c r="L723" i="1"/>
  <c r="M723" i="1" s="1"/>
  <c r="L724" i="1"/>
  <c r="M724" i="1" s="1"/>
  <c r="L725" i="1"/>
  <c r="M725" i="1" s="1"/>
  <c r="L726" i="1"/>
  <c r="M726" i="1" s="1"/>
  <c r="L727" i="1"/>
  <c r="M727" i="1" s="1"/>
  <c r="L728" i="1"/>
  <c r="M728" i="1" s="1"/>
  <c r="L729" i="1"/>
  <c r="M729" i="1" s="1"/>
  <c r="L730" i="1"/>
  <c r="M730" i="1" s="1"/>
  <c r="L731" i="1"/>
  <c r="M731" i="1" s="1"/>
  <c r="L732" i="1"/>
  <c r="M732" i="1" s="1"/>
  <c r="L733" i="1"/>
  <c r="M733" i="1" s="1"/>
  <c r="L734" i="1"/>
  <c r="M734" i="1" s="1"/>
  <c r="L735" i="1"/>
  <c r="M735" i="1" s="1"/>
  <c r="L736" i="1"/>
  <c r="M736" i="1" s="1"/>
  <c r="L737" i="1"/>
  <c r="M737" i="1" s="1"/>
  <c r="L738" i="1"/>
  <c r="M738" i="1" s="1"/>
  <c r="L739" i="1"/>
  <c r="M739" i="1" s="1"/>
  <c r="L740" i="1"/>
  <c r="M740" i="1" s="1"/>
  <c r="L741" i="1"/>
  <c r="M741" i="1" s="1"/>
  <c r="L742" i="1"/>
  <c r="M742" i="1" s="1"/>
  <c r="L743" i="1"/>
  <c r="M743" i="1" s="1"/>
  <c r="L744" i="1"/>
  <c r="M744" i="1" s="1"/>
  <c r="L745" i="1"/>
  <c r="M745" i="1" s="1"/>
  <c r="L746" i="1"/>
  <c r="M746" i="1" s="1"/>
  <c r="L747" i="1"/>
  <c r="M747" i="1" s="1"/>
  <c r="L748" i="1"/>
  <c r="M748" i="1" s="1"/>
  <c r="L749" i="1"/>
  <c r="M749" i="1" s="1"/>
  <c r="L750" i="1"/>
  <c r="M750" i="1" s="1"/>
  <c r="L751" i="1"/>
  <c r="M751" i="1" s="1"/>
  <c r="L752" i="1"/>
  <c r="M752" i="1" s="1"/>
  <c r="L753" i="1"/>
  <c r="M753" i="1" s="1"/>
  <c r="L754" i="1"/>
  <c r="M754" i="1" s="1"/>
  <c r="L755" i="1"/>
  <c r="M755" i="1" s="1"/>
  <c r="L756" i="1"/>
  <c r="M756" i="1" s="1"/>
  <c r="L757" i="1"/>
  <c r="M757" i="1" s="1"/>
  <c r="L758" i="1"/>
  <c r="M758" i="1" s="1"/>
  <c r="L759" i="1"/>
  <c r="M759" i="1" s="1"/>
  <c r="L760" i="1"/>
  <c r="M760" i="1" s="1"/>
  <c r="L761" i="1"/>
  <c r="M761" i="1" s="1"/>
  <c r="L762" i="1"/>
  <c r="M762" i="1" s="1"/>
  <c r="L763" i="1"/>
  <c r="M763" i="1" s="1"/>
  <c r="L764" i="1"/>
  <c r="M764" i="1" s="1"/>
  <c r="L765" i="1"/>
  <c r="M765" i="1" s="1"/>
  <c r="L766" i="1"/>
  <c r="M766" i="1" s="1"/>
  <c r="L767" i="1"/>
  <c r="M767" i="1" s="1"/>
  <c r="L768" i="1"/>
  <c r="M768" i="1" s="1"/>
  <c r="L769" i="1"/>
  <c r="M769" i="1" s="1"/>
  <c r="L770" i="1"/>
  <c r="M770" i="1" s="1"/>
  <c r="L771" i="1"/>
  <c r="M771" i="1" s="1"/>
  <c r="L772" i="1"/>
  <c r="M772" i="1" s="1"/>
  <c r="L773" i="1"/>
  <c r="M773" i="1" s="1"/>
  <c r="L774" i="1"/>
  <c r="M774" i="1" s="1"/>
  <c r="L775" i="1"/>
  <c r="M775" i="1" s="1"/>
  <c r="L776" i="1"/>
  <c r="M776" i="1" s="1"/>
  <c r="L777" i="1"/>
  <c r="M777" i="1" s="1"/>
  <c r="L778" i="1"/>
  <c r="M778" i="1" s="1"/>
  <c r="L779" i="1"/>
  <c r="M779" i="1" s="1"/>
  <c r="L780" i="1"/>
  <c r="M780" i="1" s="1"/>
  <c r="L781" i="1"/>
  <c r="M781" i="1" s="1"/>
  <c r="L782" i="1"/>
  <c r="M782" i="1" s="1"/>
  <c r="L783" i="1"/>
  <c r="M783" i="1" s="1"/>
  <c r="L784" i="1"/>
  <c r="M784" i="1" s="1"/>
  <c r="L785" i="1"/>
  <c r="M785" i="1" s="1"/>
  <c r="L786" i="1"/>
  <c r="M786" i="1" s="1"/>
  <c r="L787" i="1"/>
  <c r="M787" i="1" s="1"/>
  <c r="L788" i="1"/>
  <c r="M788" i="1" s="1"/>
  <c r="L789" i="1"/>
  <c r="M789" i="1" s="1"/>
  <c r="L790" i="1"/>
  <c r="M790" i="1" s="1"/>
  <c r="L791" i="1"/>
  <c r="M791" i="1" s="1"/>
  <c r="L792" i="1"/>
  <c r="M792" i="1" s="1"/>
  <c r="L793" i="1"/>
  <c r="M793" i="1" s="1"/>
  <c r="L794" i="1"/>
  <c r="M794" i="1" s="1"/>
  <c r="L795" i="1"/>
  <c r="M795" i="1" s="1"/>
  <c r="L796" i="1"/>
  <c r="M796" i="1" s="1"/>
  <c r="L797" i="1"/>
  <c r="M797" i="1" s="1"/>
  <c r="L798" i="1"/>
  <c r="M798" i="1" s="1"/>
  <c r="L799" i="1"/>
  <c r="M799" i="1" s="1"/>
  <c r="L800" i="1"/>
  <c r="M800" i="1" s="1"/>
  <c r="L801" i="1"/>
  <c r="M801" i="1" s="1"/>
  <c r="L802" i="1"/>
  <c r="M802" i="1" s="1"/>
  <c r="L803" i="1"/>
  <c r="M803" i="1" s="1"/>
  <c r="L804" i="1"/>
  <c r="M804" i="1" s="1"/>
  <c r="AH6" i="8"/>
  <c r="C12" i="8" l="1"/>
  <c r="D11" i="8" s="1"/>
  <c r="E11" i="8" s="1"/>
  <c r="D10" i="8" l="1"/>
  <c r="E10" i="8" s="1"/>
</calcChain>
</file>

<file path=xl/sharedStrings.xml><?xml version="1.0" encoding="utf-8"?>
<sst xmlns="http://schemas.openxmlformats.org/spreadsheetml/2006/main" count="5685" uniqueCount="464">
  <si>
    <t>Nome</t>
  </si>
  <si>
    <t>Gênero</t>
  </si>
  <si>
    <t>CPF</t>
  </si>
  <si>
    <t>Nivel de Estudos</t>
  </si>
  <si>
    <t>Data Nascimento</t>
  </si>
  <si>
    <t>Feminino</t>
  </si>
  <si>
    <t>Masculino</t>
  </si>
  <si>
    <t>Superior</t>
  </si>
  <si>
    <t>Pós-Graduação</t>
  </si>
  <si>
    <t>Esportes</t>
  </si>
  <si>
    <t>Interesse/Hobbie</t>
  </si>
  <si>
    <t>Política</t>
  </si>
  <si>
    <t>Agronegócio</t>
  </si>
  <si>
    <t>Negócios</t>
  </si>
  <si>
    <t>Finanças</t>
  </si>
  <si>
    <t>Lucas Oliveira</t>
  </si>
  <si>
    <t>Ana Silva</t>
  </si>
  <si>
    <t>Mateus Almeida</t>
  </si>
  <si>
    <t>Juliana Santos</t>
  </si>
  <si>
    <t>Bruno Pereira</t>
  </si>
  <si>
    <t>Amanda Costa</t>
  </si>
  <si>
    <t>Pedro Rodrigues</t>
  </si>
  <si>
    <t>Isabela Martins</t>
  </si>
  <si>
    <t>Rafael Ferreira</t>
  </si>
  <si>
    <t>Mariana Souza</t>
  </si>
  <si>
    <t>Gabriel Lima</t>
  </si>
  <si>
    <t>Carolina Gomes</t>
  </si>
  <si>
    <t>Thiago Barbosa</t>
  </si>
  <si>
    <t>Giovanna Oliveira</t>
  </si>
  <si>
    <t>Felipe Alves</t>
  </si>
  <si>
    <t>Laura Ribeiro</t>
  </si>
  <si>
    <t>Daniel Santos</t>
  </si>
  <si>
    <t>Beatriz Castro</t>
  </si>
  <si>
    <t>Rodrigo Oliveira Mendes</t>
  </si>
  <si>
    <t>Maria das Graças Silva</t>
  </si>
  <si>
    <t>Matheus Almeida Santos</t>
  </si>
  <si>
    <t>Juliana de Souza Oliveira</t>
  </si>
  <si>
    <t>Bruno Pereira Rodrigues</t>
  </si>
  <si>
    <t>Amanda Costa Almeida</t>
  </si>
  <si>
    <t>Pedro Rodrigues Martins</t>
  </si>
  <si>
    <t>Isabela Martins Pereira</t>
  </si>
  <si>
    <t>Rafael Ferreira Lima</t>
  </si>
  <si>
    <t>Mariana Souza Oliveira</t>
  </si>
  <si>
    <t>Gabriel Lima Almeida</t>
  </si>
  <si>
    <t>Carolina Gomes Rodrigues</t>
  </si>
  <si>
    <t>Thiago Barbosa Santos</t>
  </si>
  <si>
    <t>Giovanna Oliveira Martins</t>
  </si>
  <si>
    <t>Felipe Alves Pereira</t>
  </si>
  <si>
    <t>Laura Ribeiro Lima</t>
  </si>
  <si>
    <t>Daniel Santos Gomes</t>
  </si>
  <si>
    <t>Beatriz Castro Oliveira</t>
  </si>
  <si>
    <t>José Oliveira</t>
  </si>
  <si>
    <t>Ana Pereira</t>
  </si>
  <si>
    <t>João Almeida</t>
  </si>
  <si>
    <t>Maria Santos</t>
  </si>
  <si>
    <t>Antônio Silva</t>
  </si>
  <si>
    <t>Patrícia Costa</t>
  </si>
  <si>
    <t>Luiz Rodrigues</t>
  </si>
  <si>
    <t>Júlia Martins</t>
  </si>
  <si>
    <t>Carlos Ferreira</t>
  </si>
  <si>
    <t>Sandra Souza</t>
  </si>
  <si>
    <t>André Lima</t>
  </si>
  <si>
    <t>Fernanda Gomes</t>
  </si>
  <si>
    <t>Ricardo Barbosa</t>
  </si>
  <si>
    <t>Camila Oliveira</t>
  </si>
  <si>
    <t>Marcelo Silva</t>
  </si>
  <si>
    <t>Vanessa Costa</t>
  </si>
  <si>
    <t>Eduardo Rodrigues</t>
  </si>
  <si>
    <t>Débora Martins</t>
  </si>
  <si>
    <t>Fernando Ferreira</t>
  </si>
  <si>
    <t>Amanda Souza</t>
  </si>
  <si>
    <t>Paulo Lima</t>
  </si>
  <si>
    <t>Letícia Gomes</t>
  </si>
  <si>
    <t>Marcos Barbosa</t>
  </si>
  <si>
    <t>Fabiana Oliveira</t>
  </si>
  <si>
    <t>Felipe Pereira</t>
  </si>
  <si>
    <t>Renata Santos</t>
  </si>
  <si>
    <t>Lucas Fernandes</t>
  </si>
  <si>
    <t>Maria Alencar</t>
  </si>
  <si>
    <t>Gustavo Neves</t>
  </si>
  <si>
    <t>Laura Mendes</t>
  </si>
  <si>
    <t>Rodrigo Torres</t>
  </si>
  <si>
    <t>Clara Almeida</t>
  </si>
  <si>
    <t>Henrique Freitas</t>
  </si>
  <si>
    <t>Amanda Oliveira</t>
  </si>
  <si>
    <t>André Castro</t>
  </si>
  <si>
    <t>Carolina Lima</t>
  </si>
  <si>
    <t>Daniel Pereira</t>
  </si>
  <si>
    <t>Beatriz Ramos</t>
  </si>
  <si>
    <t>Felipe Costa</t>
  </si>
  <si>
    <t>Isabela Carvalho</t>
  </si>
  <si>
    <t>José da Silva</t>
  </si>
  <si>
    <t>José Santos</t>
  </si>
  <si>
    <t>José Pereira</t>
  </si>
  <si>
    <t>José Alves</t>
  </si>
  <si>
    <t>José Rodrigues</t>
  </si>
  <si>
    <t>José Fernandes</t>
  </si>
  <si>
    <t>José Costa</t>
  </si>
  <si>
    <t>José Martins</t>
  </si>
  <si>
    <t>José Gomes</t>
  </si>
  <si>
    <t>Pedro Almeida</t>
  </si>
  <si>
    <t>Pedro Santos</t>
  </si>
  <si>
    <t>Pedro Oliveira</t>
  </si>
  <si>
    <t>Pedro Silva</t>
  </si>
  <si>
    <t>Pedro Costa</t>
  </si>
  <si>
    <t>Pedro Fernandes</t>
  </si>
  <si>
    <t>Pedro Martins</t>
  </si>
  <si>
    <t>Pedro Gomes</t>
  </si>
  <si>
    <t>Pedro Pereira</t>
  </si>
  <si>
    <t>Mariana Almeida</t>
  </si>
  <si>
    <t>Mariana Oliveira</t>
  </si>
  <si>
    <t>Mariana Santos</t>
  </si>
  <si>
    <t>Mariana Pereira</t>
  </si>
  <si>
    <t>Mariana Costa</t>
  </si>
  <si>
    <t>Mariana Rodrigues</t>
  </si>
  <si>
    <t>Mariana Fernandes</t>
  </si>
  <si>
    <t>Mariana Silva</t>
  </si>
  <si>
    <t>Mariana Martins</t>
  </si>
  <si>
    <t>Mariana Gomes</t>
  </si>
  <si>
    <t>Rafael Silva</t>
  </si>
  <si>
    <t>Rafael Oliveira</t>
  </si>
  <si>
    <t>Rafael Santos</t>
  </si>
  <si>
    <t>Rafael Almeida</t>
  </si>
  <si>
    <t>Rafael Costa</t>
  </si>
  <si>
    <t>Rafael Rodrigues</t>
  </si>
  <si>
    <t>Rafael Fernandes</t>
  </si>
  <si>
    <t>Rafael Pereira</t>
  </si>
  <si>
    <t>Rafael Martins</t>
  </si>
  <si>
    <t>Rafael Gomes</t>
  </si>
  <si>
    <t>William Santos</t>
  </si>
  <si>
    <t>William Oliveira</t>
  </si>
  <si>
    <t>William Silva</t>
  </si>
  <si>
    <t>William Almeida</t>
  </si>
  <si>
    <t>William Costa</t>
  </si>
  <si>
    <t>William Rodrigues</t>
  </si>
  <si>
    <t>William Fernandes</t>
  </si>
  <si>
    <t>William Pereira</t>
  </si>
  <si>
    <t>William Martins</t>
  </si>
  <si>
    <t>William Gomes</t>
  </si>
  <si>
    <t>Bruno Oliveira</t>
  </si>
  <si>
    <t>Bruno Silva</t>
  </si>
  <si>
    <t>Bruno Santos</t>
  </si>
  <si>
    <t>Bruno Almeida</t>
  </si>
  <si>
    <t>Bruno Costa</t>
  </si>
  <si>
    <t>Bruno Rodrigues</t>
  </si>
  <si>
    <t>Bruno Fernandes</t>
  </si>
  <si>
    <t>Bruno Martins</t>
  </si>
  <si>
    <t>Bruno Gomes</t>
  </si>
  <si>
    <t>Bernardo Almeida</t>
  </si>
  <si>
    <t>Bernardo Oliveira</t>
  </si>
  <si>
    <t>Bernardo Santos</t>
  </si>
  <si>
    <t>Bernardo Silva</t>
  </si>
  <si>
    <t>Bernardo Costa</t>
  </si>
  <si>
    <t>Bernardo Rodrigues</t>
  </si>
  <si>
    <t>Bernardo Fernandes</t>
  </si>
  <si>
    <t>Bernardo Pereira</t>
  </si>
  <si>
    <t>Bernardo Martins</t>
  </si>
  <si>
    <t>Bernardo Gomes</t>
  </si>
  <si>
    <t>Renata Oliveira</t>
  </si>
  <si>
    <t>Renata Silva</t>
  </si>
  <si>
    <t>Renata Almeida</t>
  </si>
  <si>
    <t>Renata Costa</t>
  </si>
  <si>
    <t>Renata Rodrigues</t>
  </si>
  <si>
    <t>Renata Fernandes</t>
  </si>
  <si>
    <t>Renata Pereira</t>
  </si>
  <si>
    <t>Renata Martins</t>
  </si>
  <si>
    <t>Renata Gomes</t>
  </si>
  <si>
    <t>Emerson Santos</t>
  </si>
  <si>
    <t>Emerson Oliveira</t>
  </si>
  <si>
    <t>Emerson Silva</t>
  </si>
  <si>
    <t>Emerson Almeida</t>
  </si>
  <si>
    <t>Emerson Costa</t>
  </si>
  <si>
    <t>Emerson Rodrigues</t>
  </si>
  <si>
    <t>Emerson Fernandes</t>
  </si>
  <si>
    <t>Emerson Pereira</t>
  </si>
  <si>
    <t>Emerson Martins</t>
  </si>
  <si>
    <t>Emerson Gomes</t>
  </si>
  <si>
    <t>Vilma Oliveira</t>
  </si>
  <si>
    <t>Vilma Santos</t>
  </si>
  <si>
    <t>Vilma Silva</t>
  </si>
  <si>
    <t>Vilma Almeida</t>
  </si>
  <si>
    <t>Vilma Costa</t>
  </si>
  <si>
    <t>Vilma Rodrigues</t>
  </si>
  <si>
    <t>Vilma Fernandes</t>
  </si>
  <si>
    <t>Vilma Pereira</t>
  </si>
  <si>
    <t>Vilma Martins</t>
  </si>
  <si>
    <t>Vilma Gomes</t>
  </si>
  <si>
    <t>Sandra Santos</t>
  </si>
  <si>
    <t>Sandra Oliveira</t>
  </si>
  <si>
    <t>Sandra Silva</t>
  </si>
  <si>
    <t>Sandra Almeida</t>
  </si>
  <si>
    <t>Sandra Costa</t>
  </si>
  <si>
    <t>Sandra Rodrigues</t>
  </si>
  <si>
    <t>Sandra Fernandes</t>
  </si>
  <si>
    <t>Sandra Pereira</t>
  </si>
  <si>
    <t>Sandra Martins</t>
  </si>
  <si>
    <t>Sandra Gomes</t>
  </si>
  <si>
    <t>Rita Oliveira</t>
  </si>
  <si>
    <t>Rita Santos</t>
  </si>
  <si>
    <t>Rita Silva</t>
  </si>
  <si>
    <t>Rita Almeida</t>
  </si>
  <si>
    <t>Rita Costa</t>
  </si>
  <si>
    <t>Rita Rodrigues</t>
  </si>
  <si>
    <t>Rita Fernandes</t>
  </si>
  <si>
    <t>Rita Pereira</t>
  </si>
  <si>
    <t>Rita Martins</t>
  </si>
  <si>
    <t>Rita Gomes</t>
  </si>
  <si>
    <t>Marcelo Santos</t>
  </si>
  <si>
    <t>Marcelo Oliveira</t>
  </si>
  <si>
    <t>Marcelo Almeida</t>
  </si>
  <si>
    <t>Marcelo Costa</t>
  </si>
  <si>
    <t>Marcelo Rodrigues</t>
  </si>
  <si>
    <t>Marcelo Fernandes</t>
  </si>
  <si>
    <t>Marcelo Pereira</t>
  </si>
  <si>
    <t>Marcelo Martins</t>
  </si>
  <si>
    <t>Marcelo Gomes</t>
  </si>
  <si>
    <t>Jackson Smith</t>
  </si>
  <si>
    <t>Emma Johnson</t>
  </si>
  <si>
    <t>Liam Williams</t>
  </si>
  <si>
    <t>Olivia Brown</t>
  </si>
  <si>
    <t>Noah Jones</t>
  </si>
  <si>
    <t>Ava Davis</t>
  </si>
  <si>
    <t>Lucas Miller</t>
  </si>
  <si>
    <t>Sophia Wilson</t>
  </si>
  <si>
    <t>Benjamin Moore</t>
  </si>
  <si>
    <t>Isabella Taylor</t>
  </si>
  <si>
    <t>Mason Anderson</t>
  </si>
  <si>
    <t>Mia Thomas</t>
  </si>
  <si>
    <t>Ethan White</t>
  </si>
  <si>
    <t>Harper Martinez</t>
  </si>
  <si>
    <t>Oliver Thompson</t>
  </si>
  <si>
    <t>Amelia Garcia</t>
  </si>
  <si>
    <t>Elijah Hernandez</t>
  </si>
  <si>
    <t>Charlotte Robinson</t>
  </si>
  <si>
    <t>Alexander Lewis</t>
  </si>
  <si>
    <t>Abigail Clark</t>
  </si>
  <si>
    <t>James Lee</t>
  </si>
  <si>
    <t>Evelyn Walker</t>
  </si>
  <si>
    <t>Michael Hall</t>
  </si>
  <si>
    <t>Elizabeth Young</t>
  </si>
  <si>
    <t>William Allen</t>
  </si>
  <si>
    <t>Sofia King</t>
  </si>
  <si>
    <t>Daniel Baker</t>
  </si>
  <si>
    <t>Emily Wright</t>
  </si>
  <si>
    <t>Henry Adams</t>
  </si>
  <si>
    <t>Grace Hill</t>
  </si>
  <si>
    <t>Samuel Nelson</t>
  </si>
  <si>
    <t>Madison Green</t>
  </si>
  <si>
    <t>David Carter</t>
  </si>
  <si>
    <t>Scarlett Mitchell</t>
  </si>
  <si>
    <t>Joseph Perez</t>
  </si>
  <si>
    <t>Avery Roberts</t>
  </si>
  <si>
    <t>Gabriel Evans</t>
  </si>
  <si>
    <t>Victoria Murphy</t>
  </si>
  <si>
    <t>John Cook</t>
  </si>
  <si>
    <t>Lily Cooper</t>
  </si>
  <si>
    <t>Christopher Ross</t>
  </si>
  <si>
    <t>Aria Rivera</t>
  </si>
  <si>
    <t>Matthew Ward</t>
  </si>
  <si>
    <t>Layla Torres</t>
  </si>
  <si>
    <t>Andrew Brooks</t>
  </si>
  <si>
    <t>Zoey Ramirez</t>
  </si>
  <si>
    <t>Joshua Reed</t>
  </si>
  <si>
    <t>Penelope Bailey</t>
  </si>
  <si>
    <t>Ryan Foster</t>
  </si>
  <si>
    <t>Chloe Coleman</t>
  </si>
  <si>
    <t>Nathan Bennett</t>
  </si>
  <si>
    <t>Nora Collins</t>
  </si>
  <si>
    <t>Dylan Bell</t>
  </si>
  <si>
    <t>Harper Reed</t>
  </si>
  <si>
    <t>Jonathan Phillips</t>
  </si>
  <si>
    <t>Stella Ross</t>
  </si>
  <si>
    <t>Caleb Reed</t>
  </si>
  <si>
    <t>Ellie Hayes</t>
  </si>
  <si>
    <t>Isaac Henderson</t>
  </si>
  <si>
    <t>Samantha Price</t>
  </si>
  <si>
    <t>Owen Watson</t>
  </si>
  <si>
    <t>Leah Sanders</t>
  </si>
  <si>
    <t>Zachary Simmons</t>
  </si>
  <si>
    <t>Ruby Perry</t>
  </si>
  <si>
    <t>Dominic Murphy</t>
  </si>
  <si>
    <t>Claire Long</t>
  </si>
  <si>
    <t>Lincoln Hughes</t>
  </si>
  <si>
    <t>Maya Watson</t>
  </si>
  <si>
    <t>Julian Russell</t>
  </si>
  <si>
    <t>Hazel Myers</t>
  </si>
  <si>
    <t>Hunter Sullivan</t>
  </si>
  <si>
    <t>Lucy Brooks</t>
  </si>
  <si>
    <t>Aaron Perry</t>
  </si>
  <si>
    <t>Audrey Brooks</t>
  </si>
  <si>
    <t>Eli Parker</t>
  </si>
  <si>
    <t>Skylar Turner</t>
  </si>
  <si>
    <t>Levi Sanders</t>
  </si>
  <si>
    <t>Addison Ward</t>
  </si>
  <si>
    <t>Christian Bennett</t>
  </si>
  <si>
    <t>Paisley King</t>
  </si>
  <si>
    <t>Landon Gray</t>
  </si>
  <si>
    <t>Naomi Carter</t>
  </si>
  <si>
    <t>Connor Wood</t>
  </si>
  <si>
    <t>Eliana Ramirez</t>
  </si>
  <si>
    <t>Cameron Coleman</t>
  </si>
  <si>
    <t>Eva Foster</t>
  </si>
  <si>
    <t>Jordan Hayes</t>
  </si>
  <si>
    <t>Isabelle Howard</t>
  </si>
  <si>
    <t>Robert Watson</t>
  </si>
  <si>
    <t>Serenity Morris</t>
  </si>
  <si>
    <t>Thomas Barnes</t>
  </si>
  <si>
    <t>Gabriella Price</t>
  </si>
  <si>
    <t>Nicholas Foster</t>
  </si>
  <si>
    <t>Autumn Brooks</t>
  </si>
  <si>
    <t>Lincoln Powell</t>
  </si>
  <si>
    <t>Eva Powell</t>
  </si>
  <si>
    <t>Tristan Perry</t>
  </si>
  <si>
    <t>Rylee Fisher</t>
  </si>
  <si>
    <t>Adrian Brooks</t>
  </si>
  <si>
    <t>Eliza Hayes</t>
  </si>
  <si>
    <t>Alejandro Garcia</t>
  </si>
  <si>
    <t>Sofia Martinez</t>
  </si>
  <si>
    <t>Juan Hernandez</t>
  </si>
  <si>
    <t>Valentina Rodriguez</t>
  </si>
  <si>
    <t>Carlos Lopez</t>
  </si>
  <si>
    <t>Isabella Gonzalez</t>
  </si>
  <si>
    <t>Miguel Perez</t>
  </si>
  <si>
    <t>Lucia Sanchez</t>
  </si>
  <si>
    <t>Diego Ramirez</t>
  </si>
  <si>
    <t>Camila Torres</t>
  </si>
  <si>
    <t>Jose Flores</t>
  </si>
  <si>
    <t>Emma Cruz</t>
  </si>
  <si>
    <t>Luis Reyes</t>
  </si>
  <si>
    <t>Elena Morales</t>
  </si>
  <si>
    <t>Jesus Castro</t>
  </si>
  <si>
    <t>Ana Ruiz</t>
  </si>
  <si>
    <t>Javier Diaz</t>
  </si>
  <si>
    <t>Mariana Ortiz</t>
  </si>
  <si>
    <t>Jorge Vazquez</t>
  </si>
  <si>
    <t>Natalia Jimenez</t>
  </si>
  <si>
    <t>Francisco Morales</t>
  </si>
  <si>
    <t>Adriana Silva</t>
  </si>
  <si>
    <t>Mario Aguilar</t>
  </si>
  <si>
    <t>Gabriela Mendoza</t>
  </si>
  <si>
    <t>Ricardo Navarro</t>
  </si>
  <si>
    <t>Alejandra Herrera</t>
  </si>
  <si>
    <t>Oscar Cisneros</t>
  </si>
  <si>
    <t>Paula Rojas</t>
  </si>
  <si>
    <t>Guillermo Soto</t>
  </si>
  <si>
    <t>Patricia Medina</t>
  </si>
  <si>
    <t>Daniel Contreras</t>
  </si>
  <si>
    <t>Laura Pineda</t>
  </si>
  <si>
    <t>Roberto Fuentes</t>
  </si>
  <si>
    <t>Carmen Guzman</t>
  </si>
  <si>
    <t>Fernando Rios</t>
  </si>
  <si>
    <t>Beatriz Delgado</t>
  </si>
  <si>
    <t>Antonio Pacheco</t>
  </si>
  <si>
    <t>Elena Cabrera</t>
  </si>
  <si>
    <t>Victor Maldonado</t>
  </si>
  <si>
    <t>Alejandra Valdez</t>
  </si>
  <si>
    <t>Eduardo Nunez</t>
  </si>
  <si>
    <t>Veronica Reyes</t>
  </si>
  <si>
    <t>Hector Aguilar</t>
  </si>
  <si>
    <t>Maria Vargas</t>
  </si>
  <si>
    <t>Manuel Jimenez</t>
  </si>
  <si>
    <t>Rosa Molina</t>
  </si>
  <si>
    <t>Angelica Ibarra</t>
  </si>
  <si>
    <t>Martin Dominguez</t>
  </si>
  <si>
    <t>Sofia Velez</t>
  </si>
  <si>
    <t>Alejandro Mendoza</t>
  </si>
  <si>
    <t>Marisol Ponce</t>
  </si>
  <si>
    <t>Miguel Rivera</t>
  </si>
  <si>
    <t>Lorena Chavez</t>
  </si>
  <si>
    <t>Salvador Bravo</t>
  </si>
  <si>
    <t>Isabel Ramos</t>
  </si>
  <si>
    <t>Rodrigo Mora</t>
  </si>
  <si>
    <t>Adriana Rojas</t>
  </si>
  <si>
    <t>Emilio Sandoval</t>
  </si>
  <si>
    <t>Lorena Paredes</t>
  </si>
  <si>
    <t>Juan Carlos Espinoza</t>
  </si>
  <si>
    <t>Valeria Pena</t>
  </si>
  <si>
    <t>Ricardo Lara</t>
  </si>
  <si>
    <t>Patricia Fuentes</t>
  </si>
  <si>
    <t>Arturo Leon</t>
  </si>
  <si>
    <t>Maria Elena Herrera</t>
  </si>
  <si>
    <t>Carlos Alberto Garcia</t>
  </si>
  <si>
    <t>Cecilia Morales</t>
  </si>
  <si>
    <t>Julio Cesar Juarez</t>
  </si>
  <si>
    <t>Alejandra Ortega</t>
  </si>
  <si>
    <t>Jose Luis Cardenas</t>
  </si>
  <si>
    <t>Diana Lopez</t>
  </si>
  <si>
    <t>Jesus Martinez</t>
  </si>
  <si>
    <t>Gabriela Torres</t>
  </si>
  <si>
    <t>Eduardo Medina</t>
  </si>
  <si>
    <t>Mariana Velazquez</t>
  </si>
  <si>
    <t>Jorge Hernandez</t>
  </si>
  <si>
    <t>Fernanda Roman</t>
  </si>
  <si>
    <t>Adrian Ramirez</t>
  </si>
  <si>
    <t>Vanessa Sosa</t>
  </si>
  <si>
    <t>Sergio Camacho</t>
  </si>
  <si>
    <t>Alma Rosa Delgado</t>
  </si>
  <si>
    <t>Francisco Chavez</t>
  </si>
  <si>
    <t>Ana Karen Pacheco</t>
  </si>
  <si>
    <t>Oscar Ruiz</t>
  </si>
  <si>
    <t>Luz Maria Maldonado</t>
  </si>
  <si>
    <t>Benjamin Vasquez</t>
  </si>
  <si>
    <t>Estefania Velasco</t>
  </si>
  <si>
    <t>Raul Dominguez</t>
  </si>
  <si>
    <t>Guadalupe Munoz</t>
  </si>
  <si>
    <t>Emiliano Acosta</t>
  </si>
  <si>
    <t>Mayra Escobar</t>
  </si>
  <si>
    <t>Miguel Angel Gonzalez</t>
  </si>
  <si>
    <t>Maria Fernanda Guerra</t>
  </si>
  <si>
    <t>Javier Peralta</t>
  </si>
  <si>
    <t>Carolina Valenzuela</t>
  </si>
  <si>
    <t>Ramon Flores</t>
  </si>
  <si>
    <t>Silvia Navarro</t>
  </si>
  <si>
    <t>Pedro Torres</t>
  </si>
  <si>
    <t>Laura Miranda</t>
  </si>
  <si>
    <t>Jesus Manuel Jimenez</t>
  </si>
  <si>
    <t>Mestrado</t>
  </si>
  <si>
    <t>Ensino Médio</t>
  </si>
  <si>
    <t>Doutorado</t>
  </si>
  <si>
    <t>Região</t>
  </si>
  <si>
    <t>24-34</t>
  </si>
  <si>
    <t>35 - 44</t>
  </si>
  <si>
    <t>44 - 54</t>
  </si>
  <si>
    <t>54-70</t>
  </si>
  <si>
    <t>Santa Catarina</t>
  </si>
  <si>
    <t>Rio Grande do Sul</t>
  </si>
  <si>
    <t>Paraná</t>
  </si>
  <si>
    <t>Economia</t>
  </si>
  <si>
    <t>Avaliação</t>
  </si>
  <si>
    <t>Suporte Ruim</t>
  </si>
  <si>
    <t>Atraso na Entrega</t>
  </si>
  <si>
    <t>Produto com defeito</t>
  </si>
  <si>
    <t>Embalagem Danificada</t>
  </si>
  <si>
    <t>Produto Excelente</t>
  </si>
  <si>
    <t>Boa qualidade</t>
  </si>
  <si>
    <t>Faltando Item</t>
  </si>
  <si>
    <t>Atendimento Bom</t>
  </si>
  <si>
    <t>Faixa Etária</t>
  </si>
  <si>
    <t>1) Análise das Bases Totais</t>
  </si>
  <si>
    <t>2) Análise Faixa Etária e Gênero</t>
  </si>
  <si>
    <t>3) Análise dos Produtos</t>
  </si>
  <si>
    <t>4) Análise Regional</t>
  </si>
  <si>
    <t>5) Análise Avaliação dos Clientes</t>
  </si>
  <si>
    <t>6) Análise Receita Total</t>
  </si>
  <si>
    <t>Safe Watch</t>
  </si>
  <si>
    <t>Deluxe Box</t>
  </si>
  <si>
    <t>Magic Box</t>
  </si>
  <si>
    <t>Premium X</t>
  </si>
  <si>
    <t>Mesalidades</t>
  </si>
  <si>
    <t>Assinatura</t>
  </si>
  <si>
    <t>Idade</t>
  </si>
  <si>
    <t>Faixa-Etária</t>
  </si>
  <si>
    <t>Rótulos de Linha</t>
  </si>
  <si>
    <t>Total Geral</t>
  </si>
  <si>
    <t>Contagem de Gênero</t>
  </si>
  <si>
    <t>Rótulos de Coluna</t>
  </si>
  <si>
    <t>Contagem de Assinatura</t>
  </si>
  <si>
    <t>Contagem de Região</t>
  </si>
  <si>
    <t>Contagem de Avaliação</t>
  </si>
  <si>
    <t>Mensalidades</t>
  </si>
  <si>
    <t>Anual</t>
  </si>
  <si>
    <t>Total</t>
  </si>
  <si>
    <t>%</t>
  </si>
  <si>
    <t>1-%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</si>
</sst>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###&quot;.&quot;###&quot;.&quot;###&quot;-&quot;##"/>
    <numFmt numFmtId="165" formatCode="&quot;R$&quot;\ #,##0.00"/>
    <numFmt numFmtId="166" formatCode="&quot;R$&quot;\ #,&quot; k&quot;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49" fontId="0" fillId="0" borderId="0" xfId="0" quotePrefix="1" applyNumberFormat="1" applyAlignment="1">
      <alignment horizontal="center"/>
    </xf>
    <xf numFmtId="0" fontId="0" fillId="3" borderId="0" xfId="0" applyFill="1"/>
    <xf numFmtId="0" fontId="0" fillId="4" borderId="0" xfId="0" applyFill="1"/>
    <xf numFmtId="0" fontId="0" fillId="2" borderId="0" xfId="0" applyFill="1"/>
    <xf numFmtId="0" fontId="2" fillId="0" borderId="0" xfId="0" applyFont="1" applyFill="1"/>
    <xf numFmtId="0" fontId="0" fillId="0" borderId="0" xfId="0" applyNumberFormat="1"/>
    <xf numFmtId="0" fontId="1" fillId="5" borderId="0" xfId="0" applyFont="1" applyFill="1" applyAlignment="1">
      <alignment horizontal="center"/>
    </xf>
    <xf numFmtId="0" fontId="1" fillId="6" borderId="0" xfId="0" applyFont="1" applyFill="1"/>
    <xf numFmtId="164" fontId="0" fillId="0" borderId="0" xfId="0" applyNumberFormat="1"/>
    <xf numFmtId="165" fontId="0" fillId="0" borderId="0" xfId="0" applyNumberFormat="1"/>
    <xf numFmtId="0" fontId="2" fillId="0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4" fillId="7" borderId="0" xfId="0" applyFont="1" applyFill="1"/>
    <xf numFmtId="9" fontId="0" fillId="0" borderId="0" xfId="1" applyFon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left"/>
    </xf>
    <xf numFmtId="9" fontId="0" fillId="0" borderId="0" xfId="0" applyNumberFormat="1" applyAlignment="1">
      <alignment horizontal="center" vertical="center"/>
    </xf>
    <xf numFmtId="9" fontId="0" fillId="0" borderId="0" xfId="1" applyFont="1"/>
    <xf numFmtId="0" fontId="0" fillId="9" borderId="0" xfId="0" applyFill="1"/>
    <xf numFmtId="9" fontId="0" fillId="9" borderId="0" xfId="1" applyNumberFormat="1" applyFont="1" applyFill="1"/>
    <xf numFmtId="0" fontId="0" fillId="0" borderId="0" xfId="0"/>
    <xf numFmtId="166" fontId="0" fillId="0" borderId="0" xfId="0" applyNumberFormat="1" applyFont="1"/>
    <xf numFmtId="166" fontId="0" fillId="0" borderId="0" xfId="0" applyNumberFormat="1"/>
  </cellXfs>
  <cellStyles count="2">
    <cellStyle name="Normal" xfId="0" builtinId="0"/>
    <cellStyle name="Porcentagem" xfId="1" builtinId="5"/>
  </cellStyles>
  <dxfs count="16">
    <dxf>
      <numFmt numFmtId="166" formatCode="&quot;R$&quot;\ #,&quot; k&quot;"/>
    </dxf>
    <dxf>
      <font>
        <i val="0"/>
      </font>
    </dxf>
    <dxf>
      <numFmt numFmtId="0" formatCode="General"/>
    </dxf>
    <dxf>
      <font>
        <b/>
      </font>
    </dxf>
    <dxf>
      <fill>
        <patternFill patternType="solid">
          <bgColor theme="4" tint="0.79998168889431442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5" formatCode="&quot;R$&quot;\ #,##0.00"/>
    </dxf>
    <dxf>
      <numFmt numFmtId="19" formatCode="dd/mm/yyyy"/>
    </dxf>
    <dxf>
      <numFmt numFmtId="19" formatCode="dd/mm/yyyy"/>
    </dxf>
    <dxf>
      <numFmt numFmtId="164" formatCode="###&quot;.&quot;###&quot;.&quot;###&quot;-&quot;##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0"/>
      </font>
      <border diagonalUp="0" diagonalDown="0">
        <left/>
        <right/>
        <top/>
        <bottom/>
        <vertical/>
        <horizontal/>
      </border>
    </dxf>
    <dxf>
      <font>
        <b/>
        <i val="0"/>
        <sz val="12"/>
        <name val="Aptos Narrow"/>
        <family val="2"/>
        <scheme val="minor"/>
      </font>
      <fill>
        <patternFill>
          <bgColor theme="3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border>
        <bottom style="thin">
          <color theme="4"/>
        </bottom>
        <vertical/>
        <horizontal/>
      </border>
    </dxf>
    <dxf>
      <font>
        <b/>
        <i val="0"/>
        <color rgb="FF5C5C5C"/>
        <name val="Roboto"/>
        <scheme val="none"/>
      </font>
      <fill>
        <patternFill>
          <bgColor rgb="FF5C5C5C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1 2" pivot="0" table="0" count="10" xr9:uid="{3B5C891F-A385-4F09-8DC8-7D9504388D22}">
      <tableStyleElement type="wholeTable" dxfId="15"/>
      <tableStyleElement type="headerRow" dxfId="14"/>
    </tableStyle>
    <tableStyle name="SlicerStyleLight1 3" pivot="0" table="0" count="10" xr9:uid="{92A4BD21-9969-4CE2-85E3-C5746F51EF95}">
      <tableStyleElement type="wholeTable" dxfId="13"/>
      <tableStyleElement type="headerRow" dxfId="12"/>
    </tableStyle>
  </tableStyles>
  <colors>
    <mruColors>
      <color rgb="FFE85A7B"/>
      <color rgb="FF58407D"/>
      <color rgb="FF6477F2"/>
      <color rgb="FF100625"/>
      <color rgb="FF372561"/>
      <color rgb="FF623CEA"/>
      <color rgb="FFDADADA"/>
      <color rgb="FFADADAD"/>
      <color rgb="FFE71D36"/>
      <color rgb="FFF7B32B"/>
    </mruColors>
  </colors>
  <extLst>
    <ext xmlns:x14="http://schemas.microsoft.com/office/spreadsheetml/2009/9/main" uri="{46F421CA-312F-682f-3DD2-61675219B42D}">
      <x14:dxfs count="16">
        <dxf>
          <fill>
            <patternFill>
              <bgColor theme="8"/>
            </patternFill>
          </fill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3"/>
          </font>
          <fill>
            <patternFill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>
              <bgColor theme="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>
              <bgColor theme="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9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/>
          </font>
          <fill>
            <patternFill>
              <bgColor theme="3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0"/>
          </font>
          <fill>
            <patternFill patternType="solid">
              <fgColor auto="1"/>
              <bgColor rgb="FFE71D36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5117038483843"/>
              <bgColor rgb="FFFFFF0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rgb="FF5C5C5C"/>
            <name val="Roboto"/>
          </font>
          <fill>
            <patternFill patternType="solid">
              <fgColor theme="4" tint="0.59999389629810485"/>
              <bgColor rgb="FFF7B32B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 patternType="solid">
              <fgColor rgb="FFFFFFFF"/>
              <bgColor rgb="FFD6D6D6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1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percent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5117695"/>
        <c:axId val="62470095"/>
      </c:barChart>
      <c:catAx>
        <c:axId val="2151176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2470095"/>
        <c:crosses val="autoZero"/>
        <c:auto val="1"/>
        <c:lblAlgn val="ctr"/>
        <c:lblOffset val="100"/>
        <c:noMultiLvlLbl val="0"/>
      </c:catAx>
      <c:valAx>
        <c:axId val="62470095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215117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ASINANTES.xlsx]Análise!GêneroFaixaEtaria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Análise!$J$5:$J$6</c:f>
              <c:strCache>
                <c:ptCount val="1"/>
                <c:pt idx="0">
                  <c:v>Feminino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Análise!$I$7:$I$11</c:f>
              <c:strCache>
                <c:ptCount val="4"/>
                <c:pt idx="0">
                  <c:v>24-34</c:v>
                </c:pt>
                <c:pt idx="1">
                  <c:v>35 - 44</c:v>
                </c:pt>
                <c:pt idx="2">
                  <c:v>44 - 54</c:v>
                </c:pt>
                <c:pt idx="3">
                  <c:v>54-70</c:v>
                </c:pt>
              </c:strCache>
            </c:strRef>
          </c:cat>
          <c:val>
            <c:numRef>
              <c:f>Análise!$J$7:$J$11</c:f>
              <c:numCache>
                <c:formatCode>General</c:formatCode>
                <c:ptCount val="4"/>
                <c:pt idx="0">
                  <c:v>44</c:v>
                </c:pt>
                <c:pt idx="1">
                  <c:v>102</c:v>
                </c:pt>
                <c:pt idx="2">
                  <c:v>91</c:v>
                </c:pt>
                <c:pt idx="3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6-4407-BABC-A72987E8E336}"/>
            </c:ext>
          </c:extLst>
        </c:ser>
        <c:ser>
          <c:idx val="1"/>
          <c:order val="1"/>
          <c:tx>
            <c:strRef>
              <c:f>Análise!$K$5:$K$6</c:f>
              <c:strCache>
                <c:ptCount val="1"/>
                <c:pt idx="0">
                  <c:v>Masculino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Análise!$I$7:$I$11</c:f>
              <c:strCache>
                <c:ptCount val="4"/>
                <c:pt idx="0">
                  <c:v>24-34</c:v>
                </c:pt>
                <c:pt idx="1">
                  <c:v>35 - 44</c:v>
                </c:pt>
                <c:pt idx="2">
                  <c:v>44 - 54</c:v>
                </c:pt>
                <c:pt idx="3">
                  <c:v>54-70</c:v>
                </c:pt>
              </c:strCache>
            </c:strRef>
          </c:cat>
          <c:val>
            <c:numRef>
              <c:f>Análise!$K$7:$K$11</c:f>
              <c:numCache>
                <c:formatCode>General</c:formatCode>
                <c:ptCount val="4"/>
                <c:pt idx="0">
                  <c:v>62</c:v>
                </c:pt>
                <c:pt idx="1">
                  <c:v>116</c:v>
                </c:pt>
                <c:pt idx="2">
                  <c:v>116</c:v>
                </c:pt>
                <c:pt idx="3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E6-4407-BABC-A72987E8E3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10"/>
        <c:axId val="1020578847"/>
        <c:axId val="1020575007"/>
      </c:barChart>
      <c:catAx>
        <c:axId val="102057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0575007"/>
        <c:crosses val="autoZero"/>
        <c:auto val="1"/>
        <c:lblAlgn val="ctr"/>
        <c:lblOffset val="100"/>
        <c:noMultiLvlLbl val="0"/>
      </c:catAx>
      <c:valAx>
        <c:axId val="102057500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2057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Análise!$B$10</c:f>
              <c:strCache>
                <c:ptCount val="1"/>
                <c:pt idx="0">
                  <c:v>Feminino</c:v>
                </c:pt>
              </c:strCache>
            </c:strRef>
          </c:cat>
          <c:val>
            <c:numRef>
              <c:f>Análise!$D$10</c:f>
              <c:numCache>
                <c:formatCode>0%</c:formatCode>
                <c:ptCount val="1"/>
                <c:pt idx="0">
                  <c:v>0.43890274314214461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9-4D3E-92A0-D2202DA3A25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Análise!$B$10</c:f>
              <c:strCache>
                <c:ptCount val="1"/>
                <c:pt idx="0">
                  <c:v>Feminino</c:v>
                </c:pt>
              </c:strCache>
            </c:strRef>
          </c:cat>
          <c:val>
            <c:numRef>
              <c:f>Análise!$E$10</c:f>
              <c:numCache>
                <c:formatCode>0%</c:formatCode>
                <c:ptCount val="1"/>
                <c:pt idx="0">
                  <c:v>0.56109725685785539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29-4D3E-92A0-D2202DA3A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2271023"/>
        <c:axId val="932272463"/>
      </c:barChart>
      <c:catAx>
        <c:axId val="9322710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32272463"/>
        <c:crosses val="autoZero"/>
        <c:auto val="1"/>
        <c:lblAlgn val="ctr"/>
        <c:lblOffset val="100"/>
        <c:noMultiLvlLbl val="0"/>
      </c:catAx>
      <c:valAx>
        <c:axId val="932272463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932271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chemeClr val="bg2"/>
            </a:solidFill>
            <a:ln>
              <a:noFill/>
            </a:ln>
            <a:effectLst/>
          </c:spPr>
          <c:invertIfNegative val="0"/>
          <c:cat>
            <c:strRef>
              <c:f>Análise!$B$11</c:f>
              <c:strCache>
                <c:ptCount val="1"/>
                <c:pt idx="0">
                  <c:v>Masculino</c:v>
                </c:pt>
              </c:strCache>
            </c:strRef>
          </c:cat>
          <c:val>
            <c:numRef>
              <c:f>Análise!$D$11</c:f>
              <c:numCache>
                <c:formatCode>0%</c:formatCode>
                <c:ptCount val="1"/>
                <c:pt idx="0">
                  <c:v>0.56109725685785539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4-490B-8313-5A91DE01650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Análise!$B$11</c:f>
              <c:strCache>
                <c:ptCount val="1"/>
                <c:pt idx="0">
                  <c:v>Masculino</c:v>
                </c:pt>
              </c:strCache>
            </c:strRef>
          </c:cat>
          <c:val>
            <c:numRef>
              <c:f>Análise!$E$11</c:f>
              <c:numCache>
                <c:formatCode>0%</c:formatCode>
                <c:ptCount val="1"/>
                <c:pt idx="0">
                  <c:v>0.43890274314214461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34-490B-8313-5A91DE016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9123599"/>
        <c:axId val="1319121679"/>
      </c:barChart>
      <c:catAx>
        <c:axId val="13191235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19121679"/>
        <c:crosses val="autoZero"/>
        <c:auto val="1"/>
        <c:lblAlgn val="ctr"/>
        <c:lblOffset val="100"/>
        <c:noMultiLvlLbl val="0"/>
      </c:catAx>
      <c:valAx>
        <c:axId val="1319121679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319123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4AF2ABC-2335-47B8-9946-F700EE29003C}" type="CELLRANGE">
                      <a:rPr lang="en-US"/>
                      <a:pPr/>
                      <a:t>[INTERVALODACÉLULA]</a:t>
                    </a:fld>
                    <a:endParaRPr lang="pt-BR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E2B-48F2-AD9B-D5BD152551E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27CE3C6-B36C-4E36-9E9F-78E16DFB167D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E2B-48F2-AD9B-D5BD152551E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E4550C9-8D4D-43F0-9F1F-BA558E362A4F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E2B-48F2-AD9B-D5BD152551E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ABF08F7-B9C2-4C0D-89B7-2071359E8D55}" type="CELLRANGE">
                      <a:rPr lang="pt-BR"/>
                      <a:pPr/>
                      <a:t>[INTERVALODACÉLULA]</a:t>
                    </a:fld>
                    <a:endParaRPr lang="pt-BR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E2B-48F2-AD9B-D5BD152551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Análise!$O$13:$O$16</c:f>
              <c:strCache>
                <c:ptCount val="4"/>
                <c:pt idx="0">
                  <c:v>Magic Box</c:v>
                </c:pt>
                <c:pt idx="1">
                  <c:v>Safe Watch</c:v>
                </c:pt>
                <c:pt idx="2">
                  <c:v>Deluxe Box</c:v>
                </c:pt>
                <c:pt idx="3">
                  <c:v>Premium X</c:v>
                </c:pt>
              </c:strCache>
            </c:strRef>
          </c:cat>
          <c:val>
            <c:numRef>
              <c:f>Análise!$Q$13:$Q$16</c:f>
              <c:numCache>
                <c:formatCode>0%</c:formatCode>
                <c:ptCount val="4"/>
                <c:pt idx="0">
                  <c:v>0.33167082294264338</c:v>
                </c:pt>
                <c:pt idx="1">
                  <c:v>0.2892768079800499</c:v>
                </c:pt>
                <c:pt idx="2">
                  <c:v>0.20947630922693267</c:v>
                </c:pt>
                <c:pt idx="3">
                  <c:v>0.16957605985037408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Análise!$P$13:$P$16</c15:f>
                <c15:dlblRangeCache>
                  <c:ptCount val="4"/>
                  <c:pt idx="0">
                    <c:v>266</c:v>
                  </c:pt>
                  <c:pt idx="1">
                    <c:v>232</c:v>
                  </c:pt>
                  <c:pt idx="2">
                    <c:v>168</c:v>
                  </c:pt>
                  <c:pt idx="3">
                    <c:v>136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7E2B-48F2-AD9B-D5BD152551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936355375"/>
        <c:axId val="1194648207"/>
      </c:barChart>
      <c:catAx>
        <c:axId val="936355375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4648207"/>
        <c:crosses val="autoZero"/>
        <c:auto val="1"/>
        <c:lblAlgn val="ctr"/>
        <c:lblOffset val="100"/>
        <c:noMultiLvlLbl val="0"/>
      </c:catAx>
      <c:valAx>
        <c:axId val="11946482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accent3">
                  <a:alpha val="67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6355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4FFE27E2-D401-4E66-8F43-D8EA443B9FCF}">
          <cx:dataId val="0"/>
          <cx:layoutPr>
            <cx:geography viewedRegionType="dataOnly" cultureLanguage="pt-BR" cultureRegion="BR" attribution="Da plataforma Bing">
              <cx:geoCache provider="{E9337A44-BEBE-4D9F-B70C-5C5E7DAFC167}">
                <cx:binary>1HrZct04tuWvOPzcyMRADKyovA8geUbN8vzCkGWZJDiAJABOf9Pf0j/WW5m3smxVXvtWREdHtyLs
I5GHBLDHtdfef39c/vbYPD2Mr5a26dzfHpffXpfe93/79Vf3WD61D+6XtnocrbNf/S+Ptv3Vfv1a
PT79+mV8mKuu+JViEv36WD6M/ml5/R9/h7cVT/bCPj74yna34Wlc755caLz7wb2/vPXq0YbOPz9e
wJt+e63HB1c1r189db7y65u1f/rt9Xdfef3q15cv+pdFXzWwLx++wLOI4F/Y7z+Yvn7V2K74xw3O
fqH4+UeK3z+e7/+x6tVDC0/+fCe/7+Phy5fxyblX//n5z+e+2/U/L1fOJn8cObHPG9R3v5/o1+9F
+h9/f3EBzvjiyjdSfymQn92CzbZVl1bOj9WjJ7+9vqvsq/340H15evXFvroPLxTw3df/XQUw/Atm
MaexeiF/8gslImZw8y/l/2/t6a9V8Rev+O4ocPD71/+VBf4/qaj7h84/vEoe/MNYdQ//MNg/3OS7
o/27WqLyFx7HKsIEPn7/+V5bkfqFR0RRzNkf2mL/WPwPb/nvb+yvVfXy+e8O89vr++T/Lz3dPIA3
/a//+Q8Z/Z9QEP8lYjiSMY7+WkHxL1RFnBAu/rz/bTj7b+zorzXz54MvVHIDgev/aoz7r+Pfnwkg
BcfIfs8c34TAH9/9R+x88eh3Cei7k/9Dp8cvv72msSCQNv7MSM8v+S6JvDTrPzTyzaNPD85DlgL3
YlRKrqSKsaD89av56fcbkKUUkyxSMZOxUlSR1686O/oSHqL8l5hzKRRXHBwTS4iwzoY/7sW/MA6X
MCERYVxG9M+0fWObtbDdn2L5z79fdaG9sVXn3W+viXz9qv/ja897FZEgUmFMWIRjwSgVEdx/fLgD
aPD87f+xEWEG4yebRnu2W5+qE0261CYowdfoNtdj0l+aPfZaZd9I6y8WpuLHCz8f/9uFi0U0ve+C
TV1WbwnbxbviwA5lp1U6vimT6oSySM8p2ts3NI33PGlOXbZc2muUDucf7+VZsz8Sgnq+/40QwsLU
QmgFQridM7mrTnUSduaqSMYEpQYi2J928hcnB939cDGIt98uFpeBEYVB4sG9Xf3V4utkWyrtuEjy
vkumav/j9cizCn+gYvVCxWQrVD49q9gcSaX9tU3aZNJCm6v2zZjUabM3P1nyL1eMJY8UZVhw8Wx0
38hTiHiRnqIuXZk1GaJDSIUTP5EjebaQfznXP1dR+PtVurnwjkXPWtuLU3swKXrW2h3VZSaPP5bh
Tw700ljd0I7KVmCsSB6UeVT084/fTyCcvzwNx8+uSISKFCGKxd+fxqgNydaSNY0ihpKiHAL8j7v8
aW2W9UOV5/7KFXXPdV0WjZ6Zb/psraMM+bK6XkUY3uaOWG2qsO4qt8QfWc+cSu0yyISEnmmOFcr6
deO7uS/4vkaOsqTIydehdM0j7pYLnpdz0rVRtCvrqkwG2Q0ZLZs7UVdTxsqphQhdK62a+thWRPuq
4O9mltfFk4qJ7VlSRgUiURImhZBm/djhJpmbjtP3Q2/mD7ysIz3VyJ6HUvFPqMo/tc02XM5TI+7k
OpLjaNvtZCdeZL6vwi4q2FpqNM6FSSY787RdR5thVbMqwUgMQlfYtRmhJsSa8qGlST417FM9iHCQ
HcMJDUWc9QOR+7E1Yd8uc3lwdbMpncs2ZNG09kmgRUhwx1yWKxppUUYo4Th6Xxi0XTYer532xVAd
zTKNl70j4cK7oUyaPhIHUVXiwBsaQsLmdVpTMk7hzdQ0VdIwXl7lbFB3yFXtmU1j0JZSr1Eh11tU
lvgmLjw+tAEV95VT3dH0Nj/2LNidk01xjLqxuYlRv7R6iOl0QSvU7tplG/TC7HgxTrmotRxjf2uw
rZLKDTbLA1sv2y2n74rAREKi1kJ4nchHXhF0wQ1rG722NdrLRbU7adD4HjfLWOpA+vhYz25dUsIL
frHKdv4EtkM+mc43KW7xlsqJN5q2G7yDlvGcRSgeTktJfGbajdyLqg+fytg0lyBWfyltKHem6dYE
b22d1qIyWrRY3U/KuzSvadUnq4rVkAxVFz9EXo6ntZjhHGfRD/kXXi/LdVyx4i1vl/EdA3PUY15X
VRJ3nulx7suk5IeST3pCxbKTTMpLQlFFNa5CnJgSBIC6uNv1geK9cYW66UmdX/m5iY51gY2mW0f3
bCKflVzbm44Kq3kcyatRktE9+1jRp0PLRSZQXmhZ1es12sZRd7EwKuk28bGo8XAYGeW6b3mxW0UP
r2hruZ8wrdNVmTNp1XoIc6+ukDAkJap8m2/lPOu4XKJEDtN20Q3c6JibIo1W47e07lpyiRuW79el
ox82UoSM1jjPeL99Ji3Oj1tuxMkM5ZgS2B/SnPoiYz4MF7wp2yKpu8qc62awHxaIEXMmcL7Gezc3
eXGMobI+StYLpw3bXBk0CDXfl4xHqZLBvmEBoUdCCD0QltuEODRmc5BbujSFHzXKx+icd9zsfSub
w1ZzdF48kABpLzvyiCfkIBIQuV0SUqu3C6fTzdg0y01wrjiOtZlq3bVh0qB6jjUblYFYwwea1d3c
a5aPbdYUzuxtyKe96kp/P+I2vhUlp5uOMFUsbX0Dbr1EqNWFdfmexn3zJfR9RLXp6DYnjaFxEnkv
+tQ6j24kLcq9m9jXXLUkrTlrdTOoOMtrO79heIm8Xtqp8pumfc72EnaZiGXzKapMear7EKeNkVdh
pverd10SryTL/XhidjusQ7BJo5ZkLm0S5MSSrSPjhafmmvj48zLSd7Vq9IbDtTEx1YOLL1FRnmgL
oa/PP215E079Emo9OtcnsuaVXvrO6673acXaMy5yptE6pmGgjVZ5dVahvht4s7fznDbloF3ePMrO
XQGuAB9bL3FbZJKLlJDiMM7kw4ilngeXrWWzH+OQjhv+KuTIdcPJqSZgjQ0ckJPdHJUJ9c1hqatP
rKy2oxAsT/r8Q86aRLjyUfDloS1JoXldnJFSut3ijCB7hXN16dAsdUNbcMg8reJKzw26XXunp2jd
+dyd56I5LuN2UkVzGojYGUqvGzmdbKXSYUAZaev+zjduvGtmSc5DiKpk2pTPumEYTiLvwynQuNrb
aaqTMUBEQUj4i66tFMlQL4OmzMTHHq+7wgzhEHc4PyxNO2dqWnxKYgBbE0Mfad3hqwm1nZaiKW7z
wIdCu9iytF9GdaKD8GmxVOEAmRNd4twWqRODTbcRrm1GGT0UQu1FH8Y9EuDuW4RmvRVR2Fs81L0m
bgxHZKZNx71Nc/CeXV749SIO83RslanSAfLpzkQDP85qXbK+q49ysOsOlejBdsNNrvpMKrB4s6Fa
16qwOhRjuvLVaygbbLZaw7LNm7Cjsv1MJOOHWeXt1RDLPHU1a1od+tq9QdXYXtSRaC/XBsWHYGOk
zSj30m1RmjeqmHXLCQBBMq5psH0Hu8rdx2gmVbZJ4XZznEPq6MR4yqXBd/Po+gNElQehDEqqCpeH
dUFoV0Z8xyN/EVCErG4nO2aDXPHbNldR2jEJAUoFsrNbQPu574s07oPJytwvuykU/I31sT96u7BR
r/H4pmhGr4e6eEfGfNl1svX7xYUpiz1zvRbbTD8PLXsCSxA7TMfpsuqRn7WIqjFjst6OkH8htyg1
gvLrSKXd0Iv3Aa3LG26WAcygIh+rnEVvUDOTXT3n/KqX7oMbhzjdCmdH7TpvtFE518UkyaT7CfP9
MPv881zK6uBgU0dToPyiqQh9U1K3JARv/rGhU5/mtA7pisgIEdKOybJRd7fWKEpi0saJjABIFSre
kbkxAC9iB+C/hfAF+SGHECuny2FrcpaCLFUyTPVwY/J2fGpaH2nrmnYv2Tbr0XKpiz4KB7TxKOn7
zWlCy1XbwKLLqCFEBwzALC42seq6GATRpBZDAwY1ypt1rsgjFTTa1YtsLgB4lvfrtrQ7XFZ8jy04
XDp2NLzZxqGddKjFtiQyTGWpGwII0LV0cVrMC7mSi18OPub9oYREfvS4EV/nOWZeh+DzD15EoUsi
xPJSt4vM34lptbuOD/XHKo6nRvMF7IU4sz1Go3E3wmzFjq8DuxbMdPvFo9Bq+BfTxGOKCq2GBQqm
kW7Tfi6rC6PkR+XHY54Xh8WQBOPy89bx7ghnCEkvtqc1bJOu4qX3gKC3KYmjBZKA2xq1h/Ioejsu
jbmqfUv2ORad1ZbzNqn66zkuH6qa4oS19K7mRand3FcpnofhsOVrdFZQ+N8OqCuyfC3XD2qRLhVh
Nunoh3A2Vqg0rmdIucWYH3MvIUJvpT+VvJhO0xqjTwo7sQfFjgeSuyazG48PKOQdYGAAv6FPlxyi
59Q/9OM2HKWvam0rsx7GTplTJTt/EF3XpFEwm67GZkvEFLFEdiXZk1jalOSt2ed5OSUU8LVK+6Eq
r3NPeYbGVXyYaYz2cRc/I+TDMtVVsoGfn+eKIaOLxW0n6kp/JorQjGDZvhMLw0c/kOFcz92W5qjb
Cx+V59KOAClxOxyrjZT7bcwHPUYEswT1NQPZ1wAtO5wsU8SLxHdzl5qymT/gadk2Pa1QUwAUbItr
JKiE5FfTSRckVu95rtwudpF8GvkULgyV0bsKys49lTzO/EbZl1rM9b2JZ5z0PIYQmJD3vBhmrMdu
qPb5INZTpCz8udr147zRadLIcshznZRjks8SMEO8rUOrrUHVKS76ARY3Tl3mFkBm1Nly57oJMqvp
510xgn3peeSAHbZ4GrQhC3rb1DEIMQxlrRtffYhFFwA0xm11Y4lyZxdq9YUzT6O9H4NrASdi894o
Lm98uSmx87QCuNSs4LRN76qvkrY+6BLqjz4TA7NlOpcj03FMAYCzGi+NjuTMr3sV23Y3sg3HOi7U
Boit6W6K0tm9xHWUbA2NH2XrmMgq6kPiih5Sg2u2TyJyG9Fb6O3nLaJjVoq2LfTCZfx5HIb6GnUr
J9puizli1EF1qbbZgS8XDkqgdYLMwyKTVZK6E14XqlfWAH4xm0jmfEJX04ChTpui/iBbCOZ1b7tz
1/hWz2vPP6Myl7vBC/yunucy3aoB7eJ+Q/vBEpyWDM+n2fro3ABOSdZAireyxP01nciWQPVSpsba
Mtnqtr1jxIoM+82mC5VlIjfHdLtK+2lR9sHwJU5HFKLboUBd4vscZ71A6q11ldPSL0vG6wGop8iU
WT1O6Jr3fLjYfFiSteL8snW+14AalkzNgFngOjrOeTtcy8io+y0i5oim/srXt7PjKY7YLZQ/NpNl
w5NyVcMNoNA8M5WQGRIoJJYZ+bnPI3zbchplFS7i49J2UbZi8zi1ozvYYqW3vVTLpTED1taiCLDA
yLI+iswKKanP056tbM+JGb92eMq/5GJG14tFyxsXTPkO6uTuPHNA1mGW6ktY4gECF5v4qJsRqath
weoYibk/VV6yM+J5/yFfpLjO6VZejE1uDthE20VjhyZtLY6/xA3Uyyv2UVJXRV/oqpP4XtVD8RZ5
26Zb2zOb9GpBp5IWU6EBrY+pp5u627Z+O0QyryK99cZc8sHju0puOOmiPhzqVtRZ40p7dpiMu3ab
+InNOaTurZrvAkbATHpZZUNJ6FWvqmVKIoznvagLQrWFqJoWfV7GWeyQ/NrjPt7nYuFXBBVTMjRT
+JiXYdtNkHtOVQegMQG0KSI9jN0F8LbmHVSssNG1PpRtVAAbAnGzxiLeTxQ3ZyZ69RFXdLjnbIGq
GpeQ1hmTdld1ZoE82HRdm+SL6a/g19ilM6b3kJD7bLGiTSGziI9VIdGwIx2Lc+3nuj5QyzxkZigb
AT/MVauXWI3ndgpBJhEws9mI1hmCuVmHSlfTMn9uO1vv/TxCFm5YUbwzpoTqueFs0yUZl3sZ9+0Z
QEn5sK4FSuRa42Qgk38TNcV8xcGj3pcNGd/WtI7uhq7i5wkPe9POFlgl4XVvvKcp93g5N43I95bw
C2GKOC3qdnsr41nKpOIKfQmsYufCyOYdW5FJiEJYby4P16Knzb6s7bs8Xsv9zBYI4+uQAPddHmfT
jZBl3XLsDL+b2wrYktJ2F6KOIGPkjgMxQs4b6yOp0bz682xWcbEM5N3i3KPY1HRB8vmui5vmAHWx
uc3VWGi6RCY1KI+yqFWDxsh0eliJQXopa7yb0cwXrfwAdNnQbe1t3/OreDTRQ5VTAPrdzDO1TmgH
soJqaYTrdawuVzU1d4UUJsnzMPWQp8pJr9HwoW1JfKBT2RQal8SevCAFVMO2oLdmnUrNoo2+mdeZ
PMR4kp/naCUbEDfMn9mMY3BYVZqLdajjp0IR4IcQAWoKV1v+3myrT7eed2cPVMhXFAl6VYumvTEx
rgEd0s1/7ouWvm9IM9x0/VRB0Sea5xjXslQOuU8cIPpKr8RCgR4thUwgiDdEQxiYtRKo3xmi1kH3
GEy64IX/NAKNeI9FMR64EPl9i0eVcZYPx6Jd2ms8y/mrZ5VJ3TL3tUYAiCExIOUyPC7rF2eLMsV9
GICO7DFka7WsgKa6nNOrrW6q3ehqe4ISjN43aOFJFZvuOkeD21lO8rOlSkId3Bt0FAHIKYqAluuV
WwChAcw1WqLF3QKDNVXJShB7ABtxb0RT5edmY12vq0bx0+i3ZYcRTD6EiJbXYY7HGzYwBgSTHHd1
TMWtaYfy3SgM3vE6goIsQsXBeo4uFh/U47JwctWLwQPo582lqF19lW/KfZhXAQxTbTZeaERnCXSH
i28Z6uw9Wjt1mmjZvunxvH3uqOnARuZC3m0y4vcWQQrUBlihfR6KKkrmbjaXjiuRjrPtMqCj1JPo
xfSAGgHtlhFoj2VrAN/RvHpT5xKdmezFEUIuwIwwToA2q+hTVA/DjpGx3C2hd6d1jcj1PEqeRkAt
7lpH53e1VSDYfK10vg6QLZDU+QRACDgZQM4Ib3tuMBm0sr2f0nF1ar+S1dVpoHl5UjFwkQmOlmjf
r1V1ikw+ZKyK5XlEbfgwtWpKNt6G/TAJ/jDY7rlh0eZJM871qZlkc2TtLA/t2JNO54Y58Jminz8w
FmjmkPNpGSb+KW7j4ZAXUn0si2jJirCURxZP5gJQ23iLZ7PtgOlsrhzz7VvEarfPp9a8GWKOnsZu
KqB0rgadx1W4ipY8vAt+YV8buqHzWqmrylQuMdBY0s0mJ6mHyAzZJGaX+K3rblwERWe/YPvWz0Ao
lqFSySg82vu1ig6KPLDWXdNlHM6kIf7I/QTw1QAAA3IZR9xnQuEyjQfFjsSu7Iort36CMl4mkLPw
sTTUHUc21sdgjflMWRxd2ioqLgyflx0nA3/CbGgOYhbdBdCIXDNesV1Qa/mmtqh7T8a5PE1xH9+g
Da3g53hJGGFFQgqxXiuvxDFvETk2pmDaEeE6DWz+DQD9i3hF7txMzXxHKl+VwDXhrA4zPzVztGVM
CCDlqSBvAevPj8KbOoN3+MxW2/w1KkWRcGWLu4rNR9rYKssFWq75RIc95HahgTGiQTs3Q/E6dNNN
TCJoi9Wk36Otm2WigEnTfBNht62iggxetg9QqckE7BJq4Dy+RZFzmRo3dutDUdxUYVOnqDCfZc2G
3bSxZzZ0q/U89b0Oa+tOMi6eqjgXKVsQAB4YbUi2Yn6sZz99GSjpdb+tUG2PHQDfpSXAAnZvVBjs
jRhG+1hip24Vfq4+i6hs30kJKAa4XnleY7DcoNx7sgSaRIvHWZPT8o4FbKF4UhdFaaBiDaBXYOod
9fbMwycgDnWkVpkGY6r7Io9D1kYVFK2K7qq8XM81bhE4UskuxwKKkQ5fjzO9Q6s9G+r30dCzDOdQ
5LQ0dEfSW2BqpI6fK7ktasoTakWsi6LpdJuvH00NibWObJ06Vt01uLNpicft0q3+ERXxpWE2BbS/
HfoeHdg6FllporuVuVhLLLbMkO1iQOoQ8ugeVWEPbEGZRKqDomGrFu2K6mzmYRf1y/WwQAZrAUT0
0Xri263K+50jSh6AF32k67SlBJCssdt7PIz9fp3tzgq2JsPiu/22DSaZCbRVGuyrr11dnspq1WtZ
Xw1NtGvC6FIJqcdt/CjGNc7qevrQVpGAX4jQXOQfEEwyfa6inuxc2cRAUPAttfN2h2sW9NZGox7s
jLOYD0DqCQRwqyv7HUXbhZrG6xgJpQXgvCuAU4tuS/5eEADUat5FqEFA8/JLWZQfLdBtpe9kVtsA
OEH6R4tLrL3ky1GirUwlpUZHIlYaF+2Y4BgFLahNRj/uYwCZZXCnRmJoYJlDqGIoMtWAEuBvhUZY
rungmUz55O+iplY3uXGrnqrKnoGc9/tB2uYtRcuSFC2ZEqC353QdG590eTFlC28iDZ5P9AIDbbdk
iWVWrQ622QBNNIduN4/kvpMTND+Azsliy2uNod+TYcrkvlmNzUKx3fQ1TptQdNDdsFKTqHRpy6xM
PEM+bdvaAWXt/SFWnu3MRNAHC+61M2YkUGmHDbhrBcTkVEELREw8I9CNgOKfDWcOpPqucf2WRvWE
7t1Wdu+I5R+jagOcWeQyafKhgAJtmHrth86cc1zYlHXLkxiAI0KLNdqZiSYCEFFGA10AldPoRkbg
3luQYWenyOnWr9EpH3h1mtTcHDlqgKQyRu6WES/pMAb0ya11noZYDhcVkTYry9ztoNGBMiTdU+k6
ntUQ22Cz0NMoph7YTDo3J0hbQv+4XfuiHSxVxATMbsAMBsxOSM5ftPBt5ACZNa5Na3oJqCaBXmz6
4xXo8yu+aW6/XOJlC32qA8+rcW5Tekt20BK6ZSnbuWR5nx/bBB/txUcKfVwNbYWEZPWOIA288Nj9
pMcO4yn/sguYHCMq5hDUo/hFIz+HqyHkvk1RgY6dqxNoHV4bG/699vrvh/12meeRiW/mBSzbauR9
aNOeFh9nC90wxenpxxIlLwZOXizC8YtFzEpmESJQWvehO25pmdinqL3DEGeSLeuy9r7YbUB45Unh
f2IuP5Yi/31n3xwvd30XTIDjFVWLE0mtfRuA2T9WPt++/PiUP1vqhcIGYJPzuKAOuil1WtiLPm+A
oPupdT4PxLy0Th4zgSNCBSP4eRvfnGidF+XGDVhuui/fLBfQDE+XQ38MV1WmjtDhvlwyoPG3zO/D
dZ9An+rws/mh53GIlzsQ0B0mhMEAFUwvfb8D1y21KNdqgOGP4uD29R5i/m786STLXxnNN8uQFzMm
ZB4KCJRsSIfuaoJI7Zs3/ZynEb/+sd6eB8H+5TyQnWNIJ4LGNHpxnroILTQH2w7GoYq7Z4naW6BH
U/m+3Rf7Gjpp6ainrEjaFKfDrk/Qsbkcd0VqfzYL9WI86Xc3UZLEv4c2HJMXG8mx4n1AvgfBLhfO
afVgnrtd0D7U9X7MtmyGCTGgf3qN/zdtV7Ycua1kv4g3uIAg+TIP3GpRaZda6n5hqDfu+86vnwO1
r1WF4hRGnjt2OOx2dygJIJHI5eRJoIeivQhqs3pPjz5A5bYc8XyvJCZ2QrvNvwxuvIV3983wpv3o
as7sq26ziV3zHxg609A1XbPgFwJveapO0Yxs/IQcpxt2P8LyORxmp0I6XXDIHMbnr739kMJdG03u
gtI048YNrk0ntcOb0YuvFJ86cLlxgSyn8xQndMzb9K69i33RInkk2Lt8hkI0DMSiBBf4dJUIqqR5
kfXa7dzBHW/G58hNneAxsKFXfn4bOLrgGVPW1NoiRAbQEXhGSniUH2oF+pilOSSyMtyu8qctecqA
lnDheso+3UouQdo2EWw1O69T80BlYC5l2SKqCRwlM2BHBkprSzWZ+gwvdHEVqrftMAoEnC/sVAC3
lVOWGaXR5Dk8ceRYpycyPsr9y2V9OTc+JzIodxVnAugXjQrIkBDIxKrTIsUrX4V0d1nOyimdCDK4
3RoDS6mNEYKyQ49o3oav57Sb9prewZbPTno375AiuLksVbA6g/3+0REhS6XRVMEOosBnD9Pk5nUN
RWgc9HqI1PDcqJ0skIcKmiYgUXEOpWOKD6OmoXqDyro7tM78E1408A5u7QKG6qi22Tpy8Gnzciqf
uwY5VTtknaLONbV71NIC9RBMPy9v5/khItoEnBdgXqIA8M+/iGNTTKNSxRVeEDNyZKdf7MyN/NTJ
co/apt095G67COGsZzftVCz/QgLUtIRWaBWuash2MT3Q8vXywkQCuL3rlpbUU2AWbjZTe0L6HnAw
wfGcqSJbg6VrFCB7k0GyT1URoDAE8C2Duc2hN1sT1JG4ZWEhLx8J7MbKajRZ14n6DvwmvNYbyYyM
b6WUrpHmqO5Ssi2r+O3yjrHPPTF+WIRsWjD3gHRjSZxtCruEpt0Y4EgQtdsKDb+iYupUc39YgGgC
ThF4qzH6PnStYB/XFoeoU9cUBlCHDp7uY95GYVcgwQbsDErX/YJktIVY7vLqzl8xLE9leHWDsBwO
4V7ROFqSrjYTJEFc5A3s1gmv2s2wnZzBW94QqritwCc6s/XvAvGKQRYxDN5/V4APoxmBQD3p2nst
iSUXSQS6rYYqFij7qigIgVtrUBXw6dMdNPskm6J4Kt08uCnH+0xD8V2wmpVD0ln3gErY/pkaJ0JT
zaCRQtgJvTQy2yg7Z0zK34IzWlnHiRD2EUfGvbHmukgTCAEUT7VHT3P1behZ3g/6o9+NLpD1n3fV
gXoyNFUmpg4fWuHVYp4BowhKAP6MFFAp80Cb78jou+P06/Lazt4SyDHRnUHQfAG/xmJLP1paFSvD
MmmA08t6ibrZaEfhQ1jsZ1KixDe4ckT8ywL59gSDyTuWyL2UMsq6Zt3AZoww60jJ2bWTb3RP9jVv
3tZbgTQWInLWA+UI7KCuKyZaTDhnoF4q1G4MaHvn1l9mTz8oduQGP8mtts9uZJdsrZ3h1p5Irrom
F7fZgOFgEZfOha5luACsXGWlO/wI37QfEyJ0uMU74mR+TmzWkWF4y5Xhmbfh3eIxlH9wgxTpo/pi
uaV3eRNWHgTdoqoKFxL/NlkH6fEZIyenaiGSdC6lla3XtV3U33MgQrLx+rKgtXtyLIi7jLSwuskk
EDSn46ZDGwgqdO4CUPplMSvrMWC9YFCwHIMqTKePdHYuUhKO9QTjOKFundlS/BKnvjx/vyxmZTW4
EkgWySqqhvD6T8XEnUxRRyxrN6ZDaat4X5JQ/zk3kmA5K6oCLVGpRdBIYZkGt2tpNYxFxhIqMXyO
BpVLYr02dF8W0Vaixebzi1KwFsvARTSwMm5RklqFXYbbR5P9iDQssn/2AjzTZSnqyqNtKAwrxtw3
ohjc3gGBNIdmFcFH85Aj8ntqo7o8+e0b8kRe5Kp32ia9KzzWj4Sk4O3kyW7qT5v8bvBmt3Fi33i6
/EVrOqNYKrAMyLCoCBdP163qzZBIepi7RljYFerIYQM/HcCJeVQFi1/TG7QMa6alKuxl4ly8Sg+o
MUk6wPajdiircNfWoyen6svlFa15DsaxHO5aj3o1KKUkoxbU2/lbvNVf0o113X8dPOOeZY/0OyoI
ctZXZuHesZYeYnESAcMNJdpOQOctsV9lX8ui2gaDQMjKi26g0UrRWCbuPKynba80jVzgsU2WvUzT
6zxHwuby3r3rH/csQIiGJlRcBbRHcndOshrAovqsdhFiBHcA9etfQyu1tjTvm6t0alF0NFJAdebZ
2BnJlDsm0KKowyAX3+aLcTAjlA+bCSAy2YzJLlHLsHCUWlK+lk0bJ35nxboXjHO9TZUkukV7xuAq
I/pjphBeud/Hjfxd0ybtdSqUdi9Veup1rRF5lVQk13kzpSUK1EOyUXurcxodxhoIV2M7qk2Efvmc
+LjFXe0AE0u8TDaUX302aPjhkbGR1Iz6cPnNh1Yqg22oF4E9KPr8C/0hxrZt1Ohe7aZ5mxI18KWk
CR7VVJrv5ag3/QW9R/s6DptdGIT9VRQAEVmmavNIpFpxljENAEdLlN9SFAOQ1QIHX0aSCXhUjJtV
1UX5EJtS8FjlZvM9j+fkSephLtNRqq6CsjS8MU9Rc1bGcAdrOLxSJF29yyf7ntHjT9bUEDKgCRlZ
Go27fY0C+OF7SNK5yRPw/wDyKa71ku5LJ3XQx/RWu8xjGzuvcbpnUb5v7YYcS+duCBmmWY9CuXJT
6WXs0MA2P+fjQbDEtQcDvoyhUULQCs/XMaQizmJaRLU7+OlNd9DccZO49GvqUCRVrd+hQ7exa7mz
4OlYi8mZ92bBtinwJAgXEPVSlJF6aVgyNdwG0y7cd9vAH/Yo2jhA9jSOqTi94hju5fWuuKgGEDSU
yqqiskfy1HTXhiTHBNBBF8C9XRFN37VY9fUq+pqoCwqB1oJ0kik9XBZ6nsJ+b3JGtzNyHXAzNE4q
YOVxIpsoWY0OWiMkr/3d780NeTN6hzi1E2776+Cr5cQ7Y493a7CJ7i3prrGRzHZ7gblSmDk6U2q8
W//+GM5nHpcgqq1CYQGI/mN5P+/InUIbRf1D4bEuRsE1Wnu/wXehIKaSWXWQ0+MqieBNazM76m5X
vxckgGkSRjnvbyG/MEvBU4miHP7WOJVKUfQfoVOVa052hjoWdcprNDv46l2+AXTbMfbe6Mt+u8v9
8SURZnTXVOtYPGcskqQ0UZ3WUFVKQ1sJr2RpskP9RQteovZ3qH+7rFNrLxv8b/M91NeM91M+8lsV
mo1JHwBIqus/UuVLOPqXf/6a8Tn++Uz+0c/X8noa2tRCt0ZOHGmJ7VCb0FIpejxXlsE6ey2E9fAk
TT6ROyyjYVZ5jJw3wLV52XoAWwrKmysWzoSHj8QLdAKpNu7yTdasmgBJl26twvMGCEvStlrcACt8
M2sCVV/ZNVMmhMCw4ck4yzTmKp2aOMqhgoRGTmiV/oL12XTqBNERz07AbCd+POMvQUyvae9O89H5
9BGaJw34bLhUxWAngd1PbuEPV9SNbtK72i93A7I+5eDkt70gDl49M8siGl4Mys7uVDXyMAREDqAX
pKdzOx9fQqQDP618rHyJrm/NRBxjcDc5GiWAic2xcqtOB8J0Hy3ws43HfyDE1EGUBLWQYaBOl1FZ
9RQPA57XwrruzIcGae+eCo7pXB+gBwgSNLw4loz05qmMdI6zLA07lJXonNh6R3/SyPAMBfDRy4tZ
eU8hyUTqhWpAlcJZOZU0KEUQDws8p8FXkQkJb1iotGxRxNpK99VDYqe+yK6vvCSnMrnYeaCpLicN
fIfO1S073mZ+4AZ+fpBdJGCcZP9J8gToPORZMt5vPF5ITHPyEm00ayVHILjo8pdCAja6Nj6dAmQi
UAQkqkoQqnNGHEC+eW5zFM+tRf9CBv2prVKB67OqE0ciuOewh1vX5AQdGbJsXpEpeekz7YqiYeOy
RqyJMRSCsFGHf2Xo3EqiyBwXeYZlVdGlr0TAgxe/0Pj5eSkKFBxcafBsUCLm1G4JRh0tYYh9cusx
6ndBD/D+8OmnCAibIxncsdetlESNCqgNGZJdOwcpOmvRaKzozdfLW3Zu2CAIJoeiyI46hMx5RnlJ
5qpixQ4j1p1aRfUSmOHLItbuqWLA41UIQCKwO9zpky5FZwt64tzJR+uRD8Yyb7hqtq2f76QNWlC8
6tn6KZDJNujUMbIQoAI/gcoKSHP44gNIBvowCpFKKw7VYULbt234qVduKg+Jy4duE92w2nrjhK7I
3V7JK0A0u0h42/Eo8gUXanXA0KXYUimfvVzDc9T1fl8OWzROOHGZ2W0W2FpooP6G0mqrb7Je94vm
m5GGguLIyuEaf47WoIZ8loGb0P1c4OVGbYSOT4B4vAJVJbgMa/t8LIJTVEs3pixtp8rt6gVoUoT0
6ORHt8wQ3Zg02EWBcitP+ds/ON1jqcz9PvIEgHDtJwXdja5uD+7itjZDGiWPRm7HG/IIehJHtuXv
gMHVXvr9smyVaSuvWeCy02RYTNhlPt0Y6FE3gKOEFZzKL91O2QabcV8By5C4xW3kdzZ4SAKb6Vfn
ZPfmlZgzaPVYj76A/f7R6gdqRFOVobYxV7+N/ploz5eXeB68WMjyfayQe8Fz4C7zLjWA55qtbdwc
1P6mCtIDuuxsySKuHuiOVYUvl4WuKtKRUM4QjWPYmr2GbdXDeEYzU5DYeZXsrUbBf8jTlmrlF/jT
grfvHFlJkWIEhRZymyq4Cy1uL80GqZYmNAqQydj97+yn5S+AW4We5GjXPfim4o2+CexpMziTUz79
sRgilWJLO9EofIOq4aVHSAgHl/drwaFiEAq6HzclFZhyrOkttGpn7hSYLPLpIIcJ01Wk/+EFoorJ
LTjs20brFwAf6yDdak1wn6XGM1hC7i4f57kV5ORwSoQmFzlAPyIKi7eD2+0sP/GlBwYhkV812N2u
tqWfl0WyLz/bxqOVcRqk1lWDhvuocuMouS2DzJN6a3tZxJmD8b4oHbl/XH84ZJzdqVSrVUK0tiHt
iY74KkdCzvxBAxDhXJbDXIizpaAZDmlc9Z3X7fSGjzPpibIMmWuOBVpOIrvrQnBHgPNjuJHCVCDt
/IFmyzoSxxnxcpEa0K+BmmJ0Rq8bHAVgGP1mciYP/WPbdlffhkKkyJmR4WRyWwlkO0VxHc472TS7
diN5vS9t1K3If35HnFzYSsqFPLU2TgCnIucOrhEAmZQt2aF3xxd76qJd5P1oKeslK4uwi4joJTDn
gc5hS+/orWnPh2hBhSb3wWLgXtaU84DkdB8pe66OHoOQhA0JZXgbrYeCoeotWzCwbCanAoyP4vER
gZfO68+cQO1UYNXlaW+pYY1u1mSjpJWDPqtDZGperf3qwUcRytO1WkmeVmqbMSjtoZ0Fa167hShc
ysy3g0/J16KkrjFNJZQAi6gyJ5E2JkGO8Z/YSTyDJhJCcCMpT/KWmnFuhT2qUMGMpD86/8aDidKv
4PRWbBbiCCQUVDxBSBNytyBqhirLcwsVoc1wINTO/NKxPKAi3Q5OzIgmvK0msMwruweRyKAAB6kj
CcCFL3I6FCjqAAmO1BOQ9TdVMtlyubu8MHV1YYjBwJxpAl3Pb1/clSqauhEnB99Q5Im36H2cbXkf
PXXssjvoBnM99TYHmnmHHiXbiV31kPqBd/kz1m4/vP+Pz+BuR0UUJagoMLbFAcBwB00829GPtrLY
zqxu65Ek7lpI1qiksoYFM5d0/AJaqW/DtrMHh7FWal7mxX4pcJnWruLJ6tghHN39LjTR0JYhsJI3
6Mb3wJTl55vkpdzBOX0WIYXO028oIBzvJduBI2k5aA2yLpgAJLvvVHuA56uOdje7KoiDfoK9BFa1
2tDcNsnGSuxFEt2VlUfxRD73viPNSCyw1TWwdPED6FuIk98X37Wr3PkB1K3igF8BpFkhQjoRDP7M
N2Urp/jLBAAGgAnuyiRtjzbrZULi2bztLMRyN+BGGAE81KfF1hNdoLUrT+OJOO45JpkcNBZIA2AU
WDeDudM3rB7dCpyZ8+IBtyzO+HQESBBQgsCrmJ1y23sA3SJCLhJH3Zc3uZcjWGasrx0svFO6sRu6
jX/5fq5aiY+N5dH96G0GBRPFF2hyotrTGLzFaPC7LGP1YgLihu4UmcLH5tU2Aj8GRKCXIm2v50B/
nloTgIrGvSxmdSlHYjjtbLWl6YlRNmimVndaoOyrcPhsZpWd15EITg2nIHvHtyPTricA1fzMlgp8
D4IjWb1lR0I45avNts8pQXA5gECm1V+G5nuPVtQ0e8pFAKFVPT8SxemfpjdzgX72BlS0LI7uYJrR
Eig2zWzrORcQ+wbGQmQXkZrmEzJNMFQN0dDEIu+T3NFV+xs6Ozzq9m7y0L0h38XCOnEXyfrjgyCB
VR2JigzuqcHsEY/0GetKyg4yip7pnu60TbRtNqLqxJqKsw4dXQcKClBRLu851Y2BglKBgnbV7JM5
30fNQYoEfsPaLiLqUUxk2wEu4SFJyTJqQzCAd7DVdYdpYFo+GegVJYZAA9dcWgBYPiRxKmhpCYDt
xti4YPBb/G6X7k23s+fX+qAB7STOp6yp/LE8Tg/jvBmzrEyAwAhuFcCZKMl8pbkJyhg8pYIa5uqb
fSSMT0xmRt2OIOZgr+iAJs7CB4sDmmuRCUV44Ipi4vW9hOFDdgMJWBRJTnUQpFdaWmhoufmDFgXW
e8NUv7ORo9vAsxXkU9Y0Ebijv8UxJTryEcy0MpdErgt3AaleqIFrrtPsCAxtnze2R2J4hac6iYPe
HJDEkBDnBLdRIMCInGf5YGs1lGffewHgoXOuVYoee6tNsG/qvdzY5U3jq3vNJ161g6thKy/NVrou
Fmc+sDQR2D+/g2Za8KKsmcfjT+CObkqyXFLRGICWzWwXWXNlgxZqH076nqhgewiVYtOArnGqRQ24
7wBQ3mAeS+ZPcZy1WlrQL8X6tAgo4KudcgB883bYRiY8LQ0ImciTfoJJVbDmVSfzSDTfqkUWWgK1
g5NFW4LiK279jRX0Jie+y7xl07voXAFaHBdFYHTWnu9juZz7Dgw3oUEOuVn2YFSN3Sm9YGls0y5s
qs6+4OhqlNagVB0FOVZF4WwFjDBxNjeVgf5/pWsEafm1ZAT010B0jJvPSMRPpRmpWoM4GMrTlPZS
2hraCln4A653p9zhZN+fvFvR8a3v4odU/sUb5BDwNlhSzXhuQTy5hKKIedVWH62LO6dSb1vSj1iA
UUW+rGxDcGUo0uBk05uKqOSymVHYLp2f2cd6uDNr5yQMpCkr3hNj7UMPIE/jgZDMGZ5F3vjlrUOJ
/vTA0IYzSWEOvBQhy3VCzTsiVfeXl7Ougf9eja5xq9GR6Aa7Bvre0gWwRsleLDDkprIdgurxsqT1
Z+BDEme6LHMY5kEHJDuY0PlNghnwzASpTFAMisD5on3jbFVkFENDDVzcBMTPoACu1VmgBasSVCBb
VJAeaOi9OD2Zaprq0QBtiitF+dbQ69dJn35e3q/zNmf23HzIYEOUjo1DPFhNnLY4/eIAoKvbb0wg
rCenfY43rTu7umNQZ/iVbSpR5+q6g0CBgwbcHD4q5Vanxy2IYBv4IyAiqZ76DWsCrl/RW/eb5WVA
4Li7vNTVC3wkjzuvoKVSavQwTEZ5PcYVyHL2CdiSCxJfhaIONOHi2Mcc2Vy8lUkw6MyTfIxvdB80
XC6xp722lwGSD4W50dUX+2ht3CmSiXZLNWJt2Y4F7t1W3yieuLdpVSE/xPDt6WNUBQopqtaNK3Uv
mSDtyxrv8imtvx8UyE0gUECeysM3O7NS6iqHJYcPPiBvXrig+QXYams4vTu9BVds/yJBgLtqoI6E
crrRT8ZYai32r8DklwEEreAiS3KU7tNPI0XYfWPwJIZ0RlzIPY8pbAbYjyBJKm614YaSH9LwVbCF
rLJw9nh8yHhXziPlWyYwaE4WLBObSKJvWTZwcfpdJ0SBruoDJqzhpIihojp1quVFOBVJ3QEsIqNj
8MpU1e4wDHHUCOzgOTScbdqHHIsrpSgLql4Z85HYdKACCU4wU4HGNHVKmKk/qm7c9XaMvu1NRZ2/
sFd/zXu6+7N1f8YV/SiruYnD6K9Bg3//8r+u/z298H1M3sf/Z6MKP351W/0qHrvm16/u+q3i/yST
9/cfhbi/5LOZTie/wPgSjCY8GjD1P4yQ+jMR8X/4zZP5UidjtI7nS2nwk/4eGnQ2XOp0QiEb1MT+
/F8TpVTzXyb6ht9BseiBAkXp3zOlDO1fqI0g+wCVQIusys7zr5lS+r+QKABxr4luKfQYaRQq8++R
Upr2L0SKCkUxAgh5NIAqnxkpxZ6Po0sA9hJMKkOnGdFlsNOpfAtrP4wtmLUwe6UFl3BZvBTGU5RP
As3kLsAfIRr7aJgrCyWH0wug6chLYCpMYU+G5KPSacvBKHCoV9eBPk/sh4ryCeVMO41KRYl1TJio
GjS3DLES+U2RVY9qNA7bo9P9S82Pp3CtisLuo28V/4BS6nQ1aJmmUjbr6NkH+UAGSne5elLNXLBn
vG/7vmmoYZvvzz7DKZ2KQVNO1/ZVj9SeNGA0Tlv011IgS6COyyynGck3cw76TbHIkkv1LvcCYoF5
vzZHgZ1kO3eqISr6w4EPgwFjwATOqjRmMdJEB3QnSobhG7h9pae5yOXYL9JR2SVZaaiOkunTLWmI
XAl24XyvIdxEI6Il45EDg9HpJkxyEi95ic1VGsONlvkGSKmbtqh/Xj7ScwU9FcPtNeaNaOmAp8JJ
m/lLEObfLSvyPi+CAexQ1tM0oKQ5BV3Qgk7CPpAdhTbbBGiWoBLNKuPcG2gMGtdwm9EaZGKcqskp
ZourXmKmQGFjxAR4HjGxxpdLrSo28RIXuq/pGCjjTrOk0Qc1JJK+A6Hip939d7I1PNkwdey54w7M
wrQ0UIVboKIdAvCPjTZRP3f93mlxUIkFEJuolg6EzKlK/CdZzoAdBeJIB4MvBqOditEwsCzoMLnH
Rd7WI9NvGcNcPqURfxYCa0iRjcPDbXIR5X+C9UZDQUXF/cFZsE6D0yX8s3ZGPjT6o3UGHDU0NFg4
EE7revAk6n2YYYoDipzFk+WDXewlfP6R78q7yeuc9NZyLUH6b1XTj2RylwlDg0jRa7D2dTLm302M
h8LcManYYvqTdUuCYUKVs6PUBl9+GYTCRjEu7fBnycwiIeREew17nY/DlijrOqRsUXUZZ8xLSMsu
+FZgzMZDI3cYCfIrqmsDA3Ui87VLyipAl3hFXGUKBU/emtFSEfMC/2CCFNbkNLTQFjANMDqeCtNy
DLsnARhKMb1E0tzLirpmhJGkAgoP1xfANPV0uQvtaN4OcPknc8BkCAAU7D4vM08l8Wd7Y9EAB0cE
DB7AdABxxzkK4NUPqRkGmCkzVXdjUj82gSJyk8+CmHcZoPXSZYr0G88s+I95mgRy3gsNR+HF/y2f
yB3Ruy2Bk6miAQc8CCrPFVb0RO0Ui6YuWMDHbSfJb/ogJxuzrwTeAKd0Z4I4+37eg2Wosf8pdXsX
gZYoQCoBHzLgDp6q20cbWVDcJP1VUD19vpMMrxT4xtDjjcgZ28ZpdF+DttjMMeJkALN/1/+epcxO
EkGt5TxG56Rw9vc/gas/b+t8l8miZvhMzGk73bz/N2ZCdkhHXuP7ISJ4+fs7OD0p1Ggx8sHEJEFl
IHbQNjcqfB+EwpgpKYPaOgdI87LanN03rByNMphjCoZJ0OVwtuOfsmac56yYHLQP6KhWU6Lz6hnW
wJjmY8wAfSxrn/jpL+vGQgkEvRIbEEXTh8vrOr9xaGJBrxb6fxCggdb19EQVpVLIrNPGTvUKwxte
hjwQOCLnZ3UsAdmkUwnDQORQH5XJTXMP04TsscScCrAdS+VDkXy/vJpz3DFhwkxC0H4B/eQ9erAZ
BYnM/Cp6zxoDjM7On6lrAIIlb7tNcy1Gsq5v4IdEzrn/fDHyzPjqmICggboLZLFI0bL5z8fuAEzN
oMmFpKI/fHLYxIlJu1cUgTU5WwWEIAGsYb4X6vuUjzoxW6JMKzCwYxSa4pRooiwtgd09u0CcBG4Z
TTRLYxo2Koi0MarwgXGr0/jNHH5f1gD2Y04sAyeG02d5KRG9EA3eBElew1DOnrQu+lJPEd2UBGsD
MQN4kqkavl6We35xTwXz3HdkVtWhLjKg28HoGdyDqnRruugbAO7RVe3/BRJ3daUYFY/Bf1APdI2e
6oWadE1fYeiHMzqDOx0qH60aDuPUrLz6ADzcRnGSbeNYX0UY4FVdORLMXeg8bDEqz4LgTKmdqfwS
ijCqopVxT3QaDJgLOGB6KqlGlBGryazuiJkZIHhH+vMl7vS2t4FirZ+sKM1NAf3u2n1DUu3vfWVf
d+RZRcPSZAlhy2tfleCpzUu7SAWeKJ9+QVqdwWgsvCispqTwzath2fXNPE8Qcgg27NDig7XBgEEv
FNIfnF+8U1HcenQyNcjcRqwTPM1QDm5NCayWvRz0PtLE02sUhbjvl2/D+R5qID7AqwI3CGvkB1iH
2UhxE2NwryXKt6bogVOY5EPTmoK35RzEiH3U0B6LOBpoZsqDu/Ss1vupH4gz+KPXO71n7pOveDYx
/xtTkO0nyWu8yp4AjndAy7YVseieX4VT8ez3j3RF6cwStDA6Lr0lYwoKTA4tdMEaV3UFeVpkyADZ
Rr6Wu+hdSFu80bgOY5RgwgYxWzO7m4KuwkAYGXViO1yGAKOw1UGVdugYBaHRUCCt5lj6gvlPpKCy
4JldPV5wiYDXy2Ioec4NDGmYTXqK6d65eTONtT2oz2qnCXRobW/RNMp8IdC0gFr8dG8D8EDJrYRR
p42pzjujKL4FRThsLivqihBkAAHPA1UZ0se8uzU2YSHVSAw6ZfOlw3AvVdRdIxLA3T486xh6YCzA
/0l3bEa3JkL/iQRwD16bqBOS7JbmVDBU83TTaIItOgflIJo92iM+RWtkMdLAA06bbAxUiJ3Ua8t3
LL30LL1VmP/to1EB/Y6/iJhi5Bwwxwnn/O4paOUm7yB8dCYXA1pc6aGzO8/adJvQFyG9V0wlVgrW
QfDisbwWJ0yOSiNIFwhT6+/WxEZwgdAEU5kaIqpNn3ceYl0qQKkgmgV3JG71qXaTcaBln+DYBp/u
B7ff9o6VOfOXCXwxFiYqf+tda5+8YZ6I76m+CjKDrQius3KLTz5BPf2EtA3llM5QTS0YvKLcSxlx
wlrARbKypfBaQdqBThpkVflk1hgZdWqmg+6EJaYsbdO+deLsoIaiVP7KNUDiTEbViuLlge9/upgw
wgQaYoIzqg7KZw3jKK1QxM+4shR0yYP/A+8py85xbkmGicA6prbgIY1UDMpUPUmX/XR5yTBK6rJV
WnEmQXAD64rXEx3zmC5yuppumJomiDAsjV4bt73hNjtWfI8PMvFakE2IQQUrunAikDNTA6o94dR2
gInJ+W04PSxW90Ct+8vLEgnhTJVOh6iq31eVDm/x0ByGut2NRMTQsKIKWAt8KwTsGErC59a73NSC
LsSg0CzEkAbTwGSal8sLYR96GmSw4/mQwB2PGrQzBuWNOiwia2hKN3+A3SJQ2JqRAA4aaXYYI7Tt
8mXHVo7ogtkyujP9UHwgIn90IH90wNLwK6hsAwRPEpo0ordaRYyBgbpfQPO0rYTp8BU6Siz36DO4
c0OtgoLtD8uNv4BTbxMhEz8cpO3saL7lxzfWK+YzbCUvACLP7WxyG9iYl33obgYPcyqA1swEnsGa
HoG4AFkgk/Wx8U2dEkh94y4Ft5Geo62sKTCcAbBRryOlKOvDDpI/6GNJnFUxA8xLGQ0LvUWYO9/O
2qMBOkIQdzphG4y2UZNflxXrPH+hI710tDTOJndmLBVRixb7wW/31m1yl29Br+WiA6dBI1nnVBuR
C7uqZKBvQvhqoASL2tqprSH6gnlPbI30vn6LnmZv3LTP4RWaga719wyU5PwYX7Ob8m68jQyn8MTN
s6sHaoBQFaSqcCf5xDwdM2UeRg3jppZdXWLebjxiwtmXy3t7Dupme3skhdvbnsBLqibsbefPziDt
mTdRboK74Clho5N0J3/snBf1LrMVx9rnvvSVPFz+BGZFeXViDwhjzUSZlmdXXLoxwxwuC0GYPEWa
01fDrNlgxwlzYJ2m/Cdto/H3PChDg8nJyB9flr5mFynA+SjXmSsJgzYN5krTQ+r0+itBG3knimpX
BaggbAYJD+rEDKdyHA1NszKCLdpgrJ5GcqjNLsGUOWkQpKrWlIWiA4X9g9CPDz5STPRSoyylTm1m
Vx1mKlYw8UBVC2y8SAxb7FFoRzAwN41qiMn7N61p7Hh86TXRNKg1hWB0rRaCDziCPOy3iQfFkmcU
2eKlVA9Nmd6FgRrcoUg2gv+iI28TTaWbeIbffVkX1nyZY8Hc6lppKZWxilQHXKTLVm0wzigLNcwM
V/vMkdvIvLssb203UVFF4Z6i+Rg59NPdjMehM6d4RBm3jbcBnZ0xR/9V+f2ylLVQGQbkQwznxqja
UiyDNqFHoUQvfPq9LBVvVsELY2g3lhm4FkYnThXga/q86VLRaa4tErkcnCV4qNWziLVQatoNg4Hc
W/e6mPd59DCMpf0PlgguPQOdXujoQYPK6U6G9URCiwCGISORaS2A+FPwn7fyHs34rxS0zGWMoXAR
UP96K99gqKrgA9Z8H0xzQGs3so4ocXEnqc9dFo/9guQi2vb++D6sPfUfhLUAqH2I4U5Sr2dj1BYV
CrMkGzz423ygvmAr2VZx5pgNPWC87gSZDL5Loh3KHJAWqjjRLr4xwNcQboJHNvgl8SzhVKm1SBb0
LjKeIKA+UHnk3tmxyxJViabCNnsMYYkCP03pdCUb7ZUxtd8kRXHbScdg9lbdTBYmu0+Yn77LJkPU
1sAOiF81c5tQaJLBTcpDhaoGnb+9gnpCOW8LkLKFGLNDh0fgIZ0pVwWu2oqdMRH1MWQqcLZwxk+1
tcHwj2QKUFcIwMwmPVXh0oKoKQSCaJMGVhM866WqYVDo5ZNduYjMkwGzD6MxwlJPpaKGEYA+uECk
ltPIZkH4rkS6/BXAwE7U0bfy6LHAFg8RAJgoobEdOHonSkzuXBKpwgDZTe/MzgRC4dgLn5cbeBR7
zZPupKfLi1vbUlD1GSxTAVgMT/khFaSjcVCrzlCDOBdh9zV4fGZbCfR+BwzY9rK0VbUF7JfRJLE5
cDxFEmZoE2TD8VLQ6wlkW4oNsribH4tT3fwvenXXdPNYGDvYo82sY8xRXdA+/V7T6HaUUTF5rRO5
ksf4bMH5eRvfZtciaNvaGRKgVBmjCCJ8nRMrjbFRYpql6hjqZEvpYynaxXUBLJYHzxMjpjtdFyYF
I5TBIFsnqGabzHfqIEizrGUM4MKDFIXByfAGchctjcoyDltwvQ7TgjmzzTTex2gKdrUw3raLxDp+
HKsAmFKbC9mP60SyY8uM2TRsyx8mI329rDdrJ3n8PfyKaRdJxIKWmmXptAFad/PMJtpvkxRe1QlK
NqvCGJmuTFBzgJqebm9WB9rShdBRqxl3lbUvatk25WI3JrMX5LvLK1s7SwADQXsPdCDLbZ0K68ok
XMypwGhzMwRFU0iHO12vKsEtX3NlEA294xDfodOcGFrkyH8PeGfBp/E6bib0D6Dl46eKphxR48Xq
ij5E8boTj9JsjS1DdlaleaXoAJXNYyILUHU8lI/VvLAisCKCQoPhtLlTaq0iNZFjUpx53/nFQf0d
YKrv3vLo43KjbBYnrWzkOW/1z7ueJ2K5jcwQ+Ep1h9XpS6IfmtnIN0CmAkyhJPXDZdVYS5VDCVk1
AVhFvDv/Tdp39ciNq9v+IgLK4VWq0F2d7XZovwiOogIzKVL69XfV7H1x7LLhxpzzMvAAbbNJMXxh
hXPE8dP9FRHQqdCzSBAcQUC66+8AQmh51dR7mFUe9Btc2D2I3u0EPY3XLrE/PXpA5aCYDKFiAEcu
+iWaxnWvBcZGN+Bpi0CXTcrPGVWvtC7/tFnOEtwF5OMK5HmXw8zS55CRB0gvGb9BMuUW9YxXMrw/
D1ElmAhuNKho/rqKMIkvUkMCoAKxeKjm6cZAVuvvX+qPi4XO+f8f4mJT9CJCMwkg/LZIvD50Gy1P
uicotQBe/UoI9KehEMkWBRgKKPRnFzdhNHHwqeMkgegdP8K8AddxdgDQ/frvM/rTHfjzMBdbj+cL
APIVns4kYW1RHAicfnnetSrHxeG//t8Gu9gEGy5HwTPsNc+HHY4UTHA/uKLaSzbtNv/098H+dKqw
pUuE6LCFiaHs++t+mOHmFfwEaMV/VAyg93lavkBx85C9JM/2LK0GEjUqJs36mtLAH2ItdJYr7MFz
qfE3vFumhgHNwwpJVcqT05aGj4kWb4oKPaGppPXxlYmeN/ZFaA5fGITlcQz3K/B5fp0o1XwDKQTQ
gxVOCDt7i9vjGO/GByCY7taDuzW7rqkOZ+5d8cqpPu/3y5GhkFICBXQmEFzipiqmgM2pSxQifGoh
JAf48f1oZTC7TJdubN20DUujgAhe93pGM7aJp16+8kL84aTg+ooL6JjghUCJ6mL6Kgu+Ch1vVPTE
tuIY99OOjPZfn0dkIjCCPVsI4KNeXmCjDGwugXlo4mSAtYtvu+Gx2ujh79/y90+JUbB1gEE7d+4v
+TWu7oaxMCNc4RCu/cgCrNMxIDpgVWzVx9X2422vJwtzzklFwyu32+8X6JmmAZG3M8kLd9zFXVCF
oEk9bqphBi6IOWxNWPIa0PkP0AsMAtVolOHgu4WO2K9fa1IUyWXSEZxKvycDRCP7J/tWvj2L4N7e
iqVBHt1YoDP37gripofXuiN/iCdQKEfPD7SXDPj0y0AMNdSk94Gjf/lAj/Yrv8724w69U3vyY9PF
TQ7UnzymL+nz3z/t79sU4yJLycGXrtLfCpCLrwZbT8gu6yXI76jXu8e5IOIRYSFqn38f6/dzibEQ
0oN8g7Ix8B+/LjInqbLzUkFyw5PjXMxf4bcxNAzxdF9thzr2b3NLYMqnX/OQeG3gi7QW0NSMzxr9
aT10J2uLJ0nHq9in99zpt5rao6eTakL8WhTz+9Y9Txi0FZhkgaB4mW4O8K5YoaaFfj8NTZ5cbeHz
31f0j18PfAZQEgGmQenn1xUtdAfU/wpoEtkCOQzG7EEwuWbEv8ZV+tNA51IguJcl6j2X4S7vQph7
B/9JO1N34wYnnkw1dLtJV8srO/IPSTqgwuiEgUh3Rmpc3jZjPSsbZCSasFX1leFRtItL/g7Wr1MM
kXGav+1SvY0NQp6Ftd1WjE9a58ObOfIFOVCR52//vsp/+IwF3JVwiZ91/39r+9cT7UIcoD4i2Gje
TcPidzHh69XfR/k95kEI+tMoFw9GkRS2lwxNf0rOvdHqEyfdC6uWNwzmeW3YXrNO/POsEA6gHQaz
jugi7HHTCgWLiOUtj3nrIGJsyMvfZ/SHWAfdGdCcUEgCNf231wlfhbu8HKr2LCRZviUP8KL50J+m
Vu/5Pb33O3qVNPzuNSzI74EOhkWfGZJHEMP+jXPUcQTc3gkJ75FDufRXCr73EHf1mXwltv9DhxPE
vTOAAiWsCEWXyxgnMWlqc/RVoFi7qxFTPJl3Z2fqM8LdoMH5ibev3Sl/OB6/jnmxT5QeYKkwo+8G
z52tb/ng3H6T5Cvr14bbaGrK3Ik30YoWN7IArLXWQA8u/ScHjOYr0eyv1wJy33Moi5ozKk2A3af/
/K4/pYgik5ESvVqhnZlq2MSG3OanlSVWn3RZiH/5Sv53PHxW0LAjUJIugUauc3Ldhvjp/Er7ooEE
WGtvzloE2cHcgsKJesJ895rl1sV2ShFFgncIFBUqoki+L7VmOjRawW+UMFefF/TKP8cWfxR1u75m
CnV5XqDQCxfOs03mmbEOKOj5yP60nL5nFQxxoWWb3a0tfIE0TGLzK/Od3ENXLc0b+3595qfhIX3M
X7l0Ly6ff1y38CFxaiCKh9TqIq+bqtFUfMbIYXuM02uW8GaFKGhhq5ZChvyVe+FiRWHmDg4nJI8B
9AYuDTP9dZ5lNSTZorGi3V3+0T7HtInei0+qpbY5K3Xbp1m3UdXw42s3wz8qnD+lBhgZITm6WTmC
PVTwL9lMI4dOY07jp/HWQeTMtxZauhQI22oHEeG74nG4rk/+AQEJfEdfU/D99bBAaBJjn5EJwHRB
xRfC67/OGjTilOJlNs1sEc2OOYhUJGGnPk1f27H/NKcvpomWNSIPSFKijH/ZV6unbeYTLT/qwe0i
PsIty1LYT4KRqL8PqW+KOblxZoYDD5g5PD6Q4ime7KlAtpbNYr8iPc3mqcn4c5ed8cBv7fQ4Y63w
6uZqa7cVnpQD1H3SqFEbbLBlBQnmqYXX7y4aX8UM4/NgaX6eD95cOMjgdcRuQVX0Ulu61tpK6ie1
1+NaJrjTasolb0VwKNMdctEtRjRV6MvIt8SIpWaNhhzr4ptF9/kEOCLp0gRSYaiMl+m7Enr3sNZB
WpGXdrehUL+aVldjVuTXmnYIfZu1Mti7+KcjISy+U90z0vjBb8uIqvRSReMe9XchgXnUnKt4t5KM
p/SIWhPDeudbSqYAO93ZiB/AVc/Dx7WPZf9CoTqQ33gm+v4DdSpan6BiFQX4p/ppa0MasRfdTcPQ
rqIbj72o+o00Ou8TwKQoRT7bdEr13KPJbjZMOmZ2fAf6unVVExWr3x4sAXUeKu2L03Y3hKqYnsCs
KBDNExiO5T1wzkvS76EWYLXdVxRLvheGSn/N9FQcoFgJn+w2YmM57iWfBL8abBXL0EATqLNXrE50
6Hbr1mfzF5bbOjvE/eBWtfewXDf+WASno7CPMwrmattzqQg5TllKo/deCulw2HQYyXYUwWzybUzk
1N9lsYQQ+z5zaol2M+PLlVj06PTRY4LhNJRcl4+hxoofu3EsI5iNBjpd95nIgW2plSd3NZOrn1tR
OFo8Bz6wcBzRHoFafmb6aa8LUl9JJ7ID00kubyMJYkTU0jTOoYIR0sIVD+kUs5LuYtlZc+87lWW8
4fUiZtHysaD5PRsgZfgkJlaKpzoiQAe8yzPFx+PUJ4yJlnaypidT9Km6jQhb5g8K+g/ZZ0bTLZgD
9NBg1XpdgJTt38wIaHPXIOZTIzxma11o1QwClsyk6RdZpHoHpmoeotZOaKiGptpstZ5I5If8sZKy
C6aBpeoMpeh5mBQHO3OrB1Lt5DSrdGkcJEDml1iCZ/C9z5a0+CJIX4ZvGxmTEs+JgAI1HF58iFDT
7dLFDP2+n+JeTc1iNt2pXZwHI0c4Qs2r/R4XygvW5NgR5mUCYiwu0K9D1s6RF9eQY4MtrQeHu1Ec
6hrlruhFx16mzPixb4ZUUfed6y6qCWT8VJnBIzSCtx9ESMrBqpdkWsbyrVjmQl1JmfHyXbEghoN/
wzqP4W4zMlO3s4bY6PvOZIl7v/hk0U8b9zrGy4i+Dz5Uv05fMl/28j5eoKm37wmqx0BD8U5co9o4
U5SfOkKviiJU77lmDhprUjovWu/tEiX7gTpX+Jb1cc2i6wp0BAWRxkxwbOtOkmoeWjSiQ1U1NONR
NsD2tyZQlK6Y3Tazp0vKi3jveTwUDMSzGBLNbQ+bX5efZjNVItxItF9Z2fBhjSHulpgeBJ0G+IbF
68ahGL5flXRNPItbosg7tXWqQjGi6kFWbXKX9PxlXoZ8/DrqSEAErICMS9dMmi7sO7pgBg25pFzn
Bd0pJ4j6YqQjLGl02HTyI9dyJqoRox/Afhe2sKttZvSFEBtbtUjbXTHq9RjdqYEV44dY1VHtrqhZ
o3E9GC5rs7YxqOY9368o3g8aydcsOWiIwGKZcNjSYlOQ/O/UWJYNlZXj4SSWiHJxXfTdUHNgOfzo
06fOZVS6w0SRQ5onm4ORmgPsv1UkbWrIbbjHIFXIcUgVhAIOK4r0KJiaYgB8VFqd2MeNrj25z8TQ
jRjCDihrhmJN2RcSoVmRS2wgV2yw8hzcSABv7EtI0OyWQKBIh1PCoR7ZF7RuqyQ1790qTNdOAQBm
8F706q/QJ+7zH0stJ3glRDKP37o4t8nVaqFut8G/BPwLNB4ruV4L2rsCuUbq6HXlJ1Ruc8LdcIxi
TBJVjc2bN1GXKPct1LAOe4QWDOGPzNthJ0Sx3ntasLnNpR9cKxUjzxOfGH3hw7GG0TMOY63TYqdk
Yeom0f5zwDf/kIpRvp9RtjwJhrLU5vsfxImPGQv3bqlAlBn8IFwzZhy7Le2qorVdX+8JvZ7nhrmb
GAqGKi1g4txhOeod68UOBn3pqRBCjM86FbG+HoSf/B1LxzG8SZ2so08sJSo50byvo7uOs+402zlD
DWdLWbAfzyuX3nielqi6Qj8zrY86BMitj7G7ijZZNWlJbxcj5b6YTXqsCspO1QYjmHVd+HocFgAN
b5dq1Pq6mIRUP5CSd/fJOJJDqUgtvrhkkQTXKFvH20QT2/BtIrA61lY9wwYYvgEu7ZeXiFVjfM8l
3XaLkO9IsNuPKiJ9OK5xyu1dBReVsPOA3j3igjXdR5Q8PLjJuqL0MSCljb4XfI3CuySfw6Eaa/Yl
0yy/CuAjHWE51Ls7BW+Q+UNslvJKmSnckoV8G7soW09bEYi8TropTu4gfrGWb4hZ5WHOVd7dgrU8
1F+HUYd3c9UZ/D7o3NwlQon6fYUbLP/haKnDoxg3XryrwGKld0smpqKRXQV0TaUBqbvJx8q8jJBc
2fcrJ+h7V55M+/kcJhwpaLe3Osx3KFbg6XDhVLoIDkUqn8obpRmKF0tfoo8Op7PbBbH5nm2O9VM7
TjWeO5Kls4Wf4VjZjwE6j1kDvtbQTKlQljYDzd7wCUn9JyKBjRzbVY1vJPrVOX4C8kzfilUAtbXE
zByT3D7yBIY1TeLIZJp1iwZsvwJX5A0rirXCpu+z4VgqlA7aPpHY6pO9i0j1aahcWG8GcPxwO1oz
dtn3SPooPEmxJvQzgAk1eebxgnVXjKeHNeVwTdMwQwcPtxebfiJIQbf0Gu9sWvUH25XA0V0VY7XW
Ad7l2GE/wBLw0ffZJAHBVG547r9E6ZAVn/uJhPpbvED5AIZsbthK0yBIWjY0iPB/AKilZJ6sbrhY
zmRAge7RlBzgXSPwjluitpo3dbnG4Zmmcl6mxuA9nOHJxWGVbhtI8o5jATPypV8fOlhdp2NrYVRm
e/CUlQdkMdVZfEoAXDw3JgEgqflNwvO4x1Nci1qkzQbfpi403mlXlI0CG1lMu7oyyzjtXLaG8scM
fAZ7nrRdTL9jyHpgEoAeaDx8wINHYGJvEHDdGWQiZNdPc7km+xyYZRjR8F6v3XZk4wzHqxbaJRRE
Co5IB45wXSEThXujpLBREhDmm7H1ugB4nh0X1OFuDM3GCfT7DMY2kFmEWJbYhSgz+s2S95sfWrj7
JDbDjQ04wI3Q63R2/Kh7sk5NIpyjjz4ngnyZyiWVLeKo4gqA7jo7BYSjvXlb0mFcgAPBzVHex6Ea
kQsYNmFN2qTvgFlspon47kuXl6QCMA251eIaWU0W6r1R3+EHd6bO4J9U8kx+pWT299WKoHrBOjnZ
igiUkc/ULT7LD7jBkvRqE4Iun/XAFnssjPB2bLeOSQ6dLSx893bEoY0KWHRWn+pRnEdbg/ixKRiY
f8pB0N5xi0JnK2lfoGtidciBb5IrmG47tISWsmsKPqj1UZ6VDxkOFODGVbNUWny2SZw/OzZm7TYN
aYbFGzlEOKoMe7fpeTY9IISBpcU8IsSiE9dw8Urcuhzi1bhPS8hAxwLmo5x3EC/exEPWV10EjTTs
0SYWCRxrysqZ6b7wUT48UMJkfKdmVfvvMAZVVLWcy/gt7NaR89C5KOUT/LEFwyZPQuKPtpQFKAto
QMGLfSvWDPlipQ6QKWE53a2VIBGgAWmWQ27T+1gPe0fHZNxTXhPzllAcFNjEBY2FHFnyoDozPSZI
a25Gk/N2iAljzzyivXpI5tiU0OgERzxu+hl70GiUL9muljBPZNDIk6iB47JI1o/BEf8pWzJ6NYYA
Y+UiU/XHFS0/9MSpCYgSkmzbGx/UcRHp+ED6OtBdHrL0DrlH/WI6Kd/UOEWP6ZzRm6wr6BOKXF10
yonBJ3WlYo82imF+yWrR2Sdc1/nYzpyye4CUmbhRXKnuaPKIdO05yCdhB+OoIL/AUat4ryec3H7K
C0jPKDrlTSCsunEVlLSH1Sl9oFytapeBzKb3Ux78iXm9QqfPRuVaNAYlsPJaxAZneI5Su+9QYXmS
OS7/p6zOTVh34GjS78m21teiQ8a56KSE0SHvcaBQc9lF2ZSkz0VdUdzAc6rgjaHzQrHTaiTyy93C
9exO2SxT/9ghpM1PltGKkyZRQ95wk9fkmviAKgCvYxk1hqU0uad+tWHXDY7DRmbbwCdJx3z9hITO
ttkGAc+xx8817GwcuiF1u4FIA3kTe+PuYA5X7jYK0ae8RLaJDCzDxU1q7HGA/KGPrmTnq13thZTN
bGqVTejslib1zyDzaBx6moeq+2iXcZiASLV6Hb4NZTWWVWvCOLmvxUz9tsvXxNjrCpBjBjtdZPL+
OqlCol46PaYh3a1oG8NVCUl93UTU1fq7jwYx7QtVijelKMJxwH3bxBkSnetOOZSeaYOK3lLvSzwW
1zRdhivrUB1c+AKpwUFQZr/IdGVDcjWrwjhxWhgh7Rb3uDuaUUHxGZdG5WEQWed49G5ZFwC53o02
4XBurLbco5ARmSQmB1dLEd6HGZlthZs1n55QSohBMwk6HefDHNVrvA/CeXS4Jryl4EyX5zMwU5TV
utDaekjpbXF+U3ImRPa2MIVq80qN16saENaQbBqfozr077KoU9PbThv5KbbFOtxlm+tKXR50lMgH
yTPiviZB1tO3uSzW/kb5OMfTl2MwTGtCL4p3TZ7OKWc7WmPldslcyft6YvbbGHi0zxLFP/gihOfR
hOp6iRPzkjsCi0z00SHDkPD62pVdN6JMYbLIflHTspUUG6fPEReTYeivBba0qXZ+WZhGoULFS8Qb
xjSLw0EtbJ7hQDY6y384dLajrBmSYnNZOzK6vi8Ky99Av1BrbNnc4MC2Uwlhxs8O6TkWtjTRRPBe
A7lsG88LBnsExu3qv7NFBPGc5GhaIq7ZsgmpBeAy3k0tQXqVTjvqQoWqaY0kHBU0T4ZKwTrC814t
72xcjUtbDI7iFemVidS3cUGNYriDgYxNzXEpsR+BTJ0HytcdXyfgmRvkPb1+weUAJkA6b9EOql9g
/X4UBoFhufdQaXYou6wpWEDZjLjEzXGzjJnf4XJMdqwcuo9KxB9XXvbQqS6qw1Jx5Gfolj0ieyOy
HQZO9n4R00GEmD5xXmY7P+oUhYXle5pqut+2Pj4oPeIl6AHobtPBo6dTD3glUU3eZ96A1xsTwHOw
qe1+jZW4Uv0MVp0v+mvdAdDzwnvIgK+gQKPMs8nnLs+2KzzTomErc/tJ1PQdmqjjjtp43fUsS6+V
VRQ920GgWTul0O70/pmQUV/3W4l3A7IMDkDQoUM5aIynNnfbtGcx3lL00iW4BN7C4iUxRN3MoKzY
YkcW6rbDxuEUlbbDWgREzXk3dx+ixKMc1hJ0ic2b2KjVWaTVhU4f8PXrRV51JWNr2BkxIP69NWwh
eof6WX6qRg5PNrduZE+Rf34jZiyfa5T4k7GtUprBMjGl7uzCQKL8Rtj0fDkm2ZxPtCnFkIYPiwRs
58WN3Nf4blEv+s8IUPtibrrF9wpfATyFAPwDRFbHZ2qGKcU/Z7VcfvS+0sQ1qseSSdy7ov+22QG2
D4uaa6S4piPRVRF5Et4m6eQVYsG84vhRtcZzkDhJs5H07tzEsy9+yYfh+1owDX4eVULPreIDdNt5
gWu+jnVG4YXiOq5PweEc6xa/Edy4GwTzviR3tg9i/biVnNT8qjLRgHSiIjiwEncmPBxsM24mKl8W
HLlwX1phabbfXD6PtCXdJublRENXsKiF4hi8hvYguqAkQppxjopwh7pTUW5NIarljhsEwnW7mTVf
vxK1oDfb1+R9Otp1267BP63880Rxl0G0I4RV0AbSrFAc2jJHVbbrATk3t1JCJSolZN3jwkMdF1VC
11bz5reryi0sw5A4y+XwHbU7Va37iQ3FQPcZYKHKNbOetu3zuqKYJ7DzsiGfmg6XT7crJM5EgCBQ
AO2tFVVu/UuhUS0OLc/mqloPfSXm4npLYTtkSqzPfG00Ct/AFxu3rFujdOzZ+xH2uvNy2+G0z1dD
uq38mUJnk7TmHAafgihUfEAdwactyTY+vpvLbPlSs1mX370hOYPHejWxJjW9oniAymCvZ8u79OYc
O/lTNJTzJ2So4QMKMNn0zlqvhwMI7iE59S74+W3nN7ocE6RC2H3ZhveDzOPsAypu6RkzjBI+iuNi
SXC7tTCW0+Q2ZmckEn7DNLsZRokqXFyuG7Bsi+ca36GAEYw4RHNu7jz0huFY5fVUAau1RbhfTwZp
t0C+ponY+3zUw9VgEsAmZtAD4n2ZytI+sYmHGV4xY/SsHY2ubdDRLcQYxYsu5Zbfg35Z+9tlLZL7
aS3V9aZ9d4wiWf+olr7LDsRCYLlFH+FsF6cGBYrTmkbdwzawJNmjmlvBoj7utpdxAPuIxEhQ2wEo
WUTvK2r6Rvv8m/ObzvdKuXFtHUpFcEJPLMpuVSiKL1DLg39pxSS7smagoBd0ZfzA2ezem17Qrkms
k30zmjFuNsTbD1T1jrdTghRo17m1bpjOCXjAOUWZ2BFZ7K3c0uyN06rCkzfny/bkBAsZJLTM5t9C
KsC+xEtKcZBoVx6ULaL321SPrMGr0b+bXOrR31pL8WnLGAomXZkF0WaKrSdWOgNJ0NR3jxxY1bup
cwK1oSwad3Lp6A3QCItq0njLR8QUMwJ+0a/JkyyrcIfUIGqEINm+rHS6Hz2KTsd1VNv3ulJQqalR
bjuufGbvVlLyFzaK6LZLNnqr4Yl9ZSMePTIR1d+2oa+nZhRB2nYY2Ra1Oumca/F8uS9Z2Q0ZfLNB
tmk8OB2PBYFQUjPMMiB+kYi794lC8ndIshEZFs0K1LbwmACkJZdkaCH/t/ZHq0uRnlC89cu7yBZq
biVunK/TlCz3SEvCXkLAFF2sntl+Bz7hYG7qySN0yeSUmLaYtJQ3S8Kicj9Hao1u1mJeN+i+2QQv
ukoGv0M5EL2arKSOHtYa7aCrzaSia/mWFP7Au27hexQPZXIgIll2FVUIBggVqCcKRFbsAA4QfEZA
MYppG3RZP05IPHYJDHYQvAoTTpRDTvuxzGCa0CT9AqFpO60j4vcI+6wxfbLkj1ExubwlpfNhD3Vh
lPGLOOCULqDY5bsY13146lIl7ftxXlK3N7HAR4xlBtWTrochw8NWijlH5GJcenADTaq3dTnb9IAa
MZgVwzYK8WTjcpYtSrURSvQoX2HPFsLncg885rTMbTxW2fBt7qXLD5nJyCMENz2hp8Ul0YTipxE5
0JCRpJ/mwq3ofLF+9OvtuuGBbgVuxnkfR0QpWIVAW98fGem061EjyFma4wSs7BsqjvObznQiG3Zm
3joLwY9qdbdrbewNYbDvaiuXZKd4Uwt8Wrdu/uA1sI1Xlmf8jqzp5o4pzqA4LABxyicUW8t0HzS2
O/76wun7KVYytNjV8fAAIiYB1H1MFUraY7VlV6kb4fNhWQ4a+TSQDsVWlzEU6xGVnEbJ56+I8tGd
SJjwZTMWGl01gPwquH16Z+5JMhZ9AyUkS/d8gO7NLp5LX+4RU2zzfhGuw56sMkyxkulyktzwx2Hl
1aOe+AAjsrXqPycrRZK4AoGTyLN678ZPNk1Zfc/RxylBqIwzu95qfJn5qQeigu/zVMLiuKtZ/WUb
SphxlZVV5snVyHJj3vGoRWvOfdMEmRgqf8i7n6tJ5agkpoDIT4jucoP7I5oTmZ5mjVsDoXcW0Q+l
QglzR7oahbS9TzMjP2v8bRxoimWpPr6CIDjjEX5uCFdA+JTgcYHIBQVXEFh+7aWXE4+pDOiln229
5As7LTAxI6fuy+uWev9IUv00FjhOgCugb4//1IAvXmJsfcLHFcGybscEiz0+SLzXKcr8U/wFFcgr
Ng1NvNmraFiPypgjNwhC0cXi3136L7mA//1VahgegOcHoMgF3kg40Ft6WuvWqR7R47fEHNPo8Mra
XmBBfhvkAqcQuGNumTpAMI4yaaCyxt7noikhVj3dQcrH7LOv7Lk6TAd38xq46QKo+dvQF3jGjaGk
0XPMb45v63g81EY1XNf3wBbv8PbtkWrtO7K9BuO6wKNcDvsPauQn3I2YZie384zjt9Pn+mu3AVc0
P5T3yVtdtQhRUAAHhr3tD/iRvy/2n9b6zL1C6J6BTVFdrLWXZSfCoE2LRuIhB7k7pFBsyD6CX9sE
oBv/PtolD+ufif483MX6Bhtq2wE/hls1QxE++xDz5bHk80uxyQZmvc2al0uzqGKHS/e9quNX6Evn
6VwepZ/Gry+IfYiTRpSEMd0Ft5sLYwu0ebPlSzN233V2O7NXxrsE6P1nwiCwV//I94EO8Os90Vm7
9QyllzY56vmw7oebGOIu1S2u2+5rspPHf82//G3ICxCXER3tu+g85IByg7zaYIn+ymc8L9PFMoLW
ADc8IGUSwJkuhtj6aZxXIFRaFsMCTVc6PpXbtB4nUZV7mojwA6neF7MtELAp5n0etuhfAf/OUvnA
9sT5GdqcgT1fn0/UTyfGxw7hs4WSmBviTySCY90IDPka689/n+p5Jr/NFJpBuHzRbP5NWQywvAXp
pzXIebo3Ci+z7MQr991rQ1w8JXQ0sVkTDDHXTl73k+6uqrC+ZrpyaUT5nxUDjSKuUsB8QWb4dcXq
wlrAAoxp7a5Eu6HpnrIW3mhweTuitglGzPSo7wEZbQe04o7/i1XMUGkHvwEnIb+cIiWOGAO1MnQq
42bqmEaDavnfrONPg1wctWQeMj3Gi2lRw9ov9gv486/wBy5QYP9dwv+ZxsW2Dx36s9xhBGBjDgXK
6OdCeSpf2XKXANv/DAN5nTNOMIrB+Pv1S5XMAaTpgAgD9fkAt+VHlsmdqvqraUXRqRwBoXJRuM24
QFN7+OSX+jBJ9gqH6Y+7Eopp8DpCgAPqza+/RI0GAeqnGx4Gf7MCrmG657/viT9uyBRaXBBJhpwB
oIK/jmA2i051h0sESPOkwQsPh9Jj5hHGXg1Hdo1Q+P12R296mHt+6N78S9mrfxYZJqVQ0ktA1oW+
/K+jdwCrdBxVgHbltPl/pF3ZbtvKsv0iApyHV86SLCueYjsvROIknOeZX39XO/vsUC0e9bHvQ4AA
BlTsqbq6atVauPPtVH+ahMC+PsitHYOUsQS1JpmQ3FFjrEcZXR8axqgZCRBlfoPkioKK6HUrW9eq
tDZD3eKLJFRKmsFMZ0N+iKiTPoVecguYjC8z9sXWiBSQlWpg/QdfqUGNKATFoZ7nERpx54MRBPak
3UKckhUnkF+h3e7aCjUgQ4uVARVL7L634rGCVgm60SGQZvMv3ffJKxHUf9Pdyqv2scsKAbcHqIDp
DlBkdCRRGz8bm4WXxgLXZzHedhL6mwdQz3QjY81oJPD7BiTtASBeg0e86GmT5IJreqFs0ZIe+pKv
f5kgDUjYGbT7yime4xsi0Z05GWjKj0hfsfpA6Y6zf+xjksGQBqgufcAD4O/aPMc4EXN+HWzOzB0h
MHEO9qEjvhJMe+6FXono+zE6qIE98iYLDb0RjUHa4+8nUNdCjE64UcDD0poTPwROKCkgUZ7ta/EQ
Nd+HsGXQOmyu7MocdeSNtFTzhZhD2meMHlDzGauasXP/y7L+HZN87lfEEqXQihhJdvpe3Mv3A6K+
/jZ1wDxldU5ySngwrorw2CaiFzaD/vYH4OpATyZRGKEJjpNlzCejTEjESQTfRTB+TH5xyJ+I7kH1
XTQ7rwKuvcG7VfRZiqSbU4yuWqIKAwY6gZricZyFceFhXDOeuuTUpk/a8DFhyz/7Fn2YCD/RNISL
43yCVW2Y23LGEw34VjdPRKvogGMfM7NhWdp6eIPWhweRn0CiXfq1kCnAOcXgILCUh+gx+Ym2TMlH
qVS3+9fWrndD6CZox0yfGd5861igbRn6TLwMbgcaPJ82gggQIVws6dAev6Ic63JWeoidFOoLg5N+
kZwUzQEqb34mTlPRiWVguOjPpqkDjQxlAhSHSQjFP/GLiBqUUX1lDI/sAdq3q2Bu0eF5VAF0QecL
uIQhyjl6/Mfxzbiu5uPkE4afwAxfeP8fqUsoT4a/yi9/fviKBOD7flmbow5kG2GzGAO2ZNi0h75J
HwMRMrn9zNiWWztfNdA2CFA56aunXpZFZBhdo8BMrc52AhhOUv9SCkZPN00v+T4Y8HdjU6KyhTIS
9ezJmyxTxmBqoIuQ3monw8SV4cmvij876CJxkT++ESCqTTgx5l3j1aAwbRhhNjFBL9/6E6gAAOhv
9CfEM2qVPeDi2mM/nAqw0pQ6Y0LfuZ6uGaJigHhMI2UBPMfKdrxHLscSoGELvQKeaqOOCyHn6b5z
RpvckvMByXqXeNPqxtixQgKyRS6+hLw48ZAHwTTNNKkDcSBNiwYeSVCONJVfItl6/VBsWTCgG41/
hoSjR62rUMRjUxsLBCZizimD2jIGVqbnvReQHsXaBrVwelih0N/wDQKO5Iu2G17kvWjlToba5Fei
Z6+/Cl7sAcWDK/9n5kRO4Ei7yJmczIlt1tW/GbKuv4Za3aJcpqGWMWLi5NrbDIzM8qm55SF5+0Ei
chwa9LUB9YVWaFEBRTg1cAm1YQ5HqUO5QERz4l4NboEMUsqH62soXvptYkcndBPoOL1oaK27JFBj
vLOtxtW96Ub9fuz92uFrS7BTB+D+vW7LDwipdsGDboYWb4qoe2Qm76JR0jOYFDYbER5J0wpoqEO3
O6Cy1E0JoFZUSkE4YMGbXf+7eBRueq+2Sg9Bnl+5scNZiDRB0Vc4KHmCHoyplkGzCmDqzz6BJkOK
ah4ABPIJRY+OSZQLX8hBBjPMjsTyGUjoXcTyDotudMNPntulgvgShZMSGBZUxu60nXbKHgnRvrrX
n4rdYotPNXa7bXwb7Q7oTaIqUyCRb0V7jeGvN9J/599BRbjo+UDDmI7xi4oJlOqRSJkHoHWOQAZs
ohPINWxhd30bXl5ExKTO48kO4qSLJ+ciazOQOPFgDQv6X7McfAbykjhLVd1dN/RfBvfXEnWEc4QL
AahvBxxh3Yt95XnyDSvfCU5qhzahqma1FV5ePedDozZ0QuKimiCY8qR60oWTXsZeZki7UGHcPZfu
2ID6JBr+8CxDKyxd3YGUTKfrZY1tW5X7EgqpgtIwvMWWCXS64iGtIcC8aEGdpLJFLb0bLG3pLAC9
u6yzP7E+hAgXcTJqNeiOPg+0JgS0I9JLZH2AQ5pe0u8NOEYj8F+LnJs+to+dx4r/N14fhgJZSGg+
gD0O8D/qIusa5B570CdZSWzO951kaW/GG+8UdugYUFFSH1D4bl/El/ynCE+fMbvTt6Z1bZ/y9Xkl
c6qeoG+rNjp3qqFUJjrXp3XrfK0tULseaLcCaF8dR1qbD8AbookV/PhmW3MsKW66Hfvde65NUftd
1NO4TlNMZmcTMPlvDfTlka3uhgP65kzxpfk+P7QPscu6nLfO2couTWLO96rcQKJkQG7sayd84cPf
Xf67m18/M5GId0BfB7JImUz0KoUfaXHVKdWAlvYqOApqfOSGwMZm/sRBI6f5P2aoHdm2ZZIZQKwg
MG+dTAqfQvaTZnPCAHkkop4QeJWoobTTkKVyYAxWhCfiW7Or3NKagHSXTZTc7wAc5fZQFXjWoNyU
fDhyxIFbmaaGJyyGCniGOlhpV4buUhKykp7lSjb3PFT5QEIAPnm8Sc+XajICpchbOCslKp5RA/WA
gURjoh4xCqEMO/Qjap4zVJ2FBt5DAsVgkSdOFo7f4oLFILqxXnhCAXWL4pUOcifKSwx9KY5C3SIy
6tFUERaWIVaWEgtuF/26vsm3gjAEX8DQkt5xZIGJw1rt8jEeBsDdYaqMLGDtbe6l90IntUZXvQHb
kxfegZ089Fp7qS3pl8KZ7aFh7ZGNRAZ40FYfQe1PhKpSrCj4iLayCLNTfex4M/g57MU3ySrtaB9Y
4an2rw99YzFhFFUzJBhBD0S/aaYJpMGxhkCkqAB/AYQ2FTww0jL2/0YZAWOTIXmsg6lcvoi6p2Ip
0MCMu5oo94VIrxvmgAZMEFB3h+i5fUMnkyu7umt8LZlsmO/5rPM3FYyD/4gIiYHujRYoDkUQ1zUV
jLdOCe12P0OmRrOM2QpORMipYlLLbLziYBHlCkKPLKAiSV0/Mj9HWqlgVrkHomJSnQQX0gsn+VX/
qT3FT/IptnpbcMKX4tgctR3Jp8x7xR5c/Za1wFv309m3UG5hLtGHVXNwC8luuBmtuLZi9HW/KzVm
qD3YmTm7M/gE2c/HjWueVFOQIMaDixTXz0/V0Bbojq+Lwcpm0QNOGtRIDXo+r2/gTSPwZthXhESP
jp/6HvXEHqhgq899MN6YUvThWgrWcmWAeh0Ag5DKQpHDDaUTGtGN7rme8l9t3bFgO6yR0Cm3hAOZ
ZYnpSmb0jY1x4w4RSE+uT9c7/fjFYUBqCAGtCEiJSrm6BRmUFKJEOPA3+r7cBzvB47zlWFgszczt
jbeyRPmzbKmMbInwvGvRcWICgB7et61ZPSQ25rFFp7YNFEv4Glr1KbaZV+6mY1tZpzYfNxTocxpg
XZ8cddkryXNZMUoV5AK6nEqwkpP0M/Ft1P4WkgaAPyhJVjwuwlHo3JTvD8bY+6BH/wZi8oyxeFsv
ZhUq1AjZsUxAVFD5yxjcP80I2gZoaKIw4BknUX/PWyAku11uhbt4R+h2d+JL4RRH3RpeflYeizp5
c2JX30A/WDqxnZYOcWcBlS4EWy5aNJ7EPGVM7tZpEMBzSETjNkrbAwh4Ao5wKS0FgO8AhQKo8sw4
C+To0gu4tkEd7RBNlJNOTtyIIhAA0V7jL3f5TrFSV9ux+Iy25m1tjDreMhonDLQzIPzsOFciJwHq
0MrE0iHdvGrfMTfI2oN7XaXWR5jAMLQ02CNgVE0ea6d3Qr9HPqM4cI4MhkhlBk2lCPEsjin4sDlE
1EklpNeRY6f5MdEZgiM/49UVAGhsaBwAw18MiQXF2XRhAvTuZLz9oRFNA5tAMQAdwQzPR/RxyVaN
3i6HS9rMWQZhOYhRu9jA8icWWrvzXdB29c/G6INPxE3rbyBTsYoY0eSojEmBd1EJ1lgOUPLmrgw/
kZhCthlJIgUVQlQsKB9WK9UyDgEiwuZlcMXfRB1geW78AfwdJeEadcITK4u+tYSwBA0JFYgLhSYe
nkuIo2u92FuRIv8uyvZFHSYP3d0/rh+9LTMIA2UIkSB9g1U8n76R6wwQaS6oB8xfwvJBxj2XB6zU
17YRVMgMGZxlAk0RmSpRWskzjCgPpIKFB96PxB5MIqvQ3I43hFeelVohwRTtUQC4/dcktWJii57/
MRT6d7zAH6kYwcnZRLBbV8/aDvU2UqNCmzQFQyO4hO5U8Xa87w5EH29y9ENqZ15s82DDZqZuWHNK
3XmlrEaROPI9monuNdXTAfzlBsbZ2sBWAf65mkUqZG30VkW7NEanPSwueSTIu3AHjjI7d9lR6ubz
4K81PDTP92I3t41UtRhScYOXn9n/mkhCwIofVTfFDGqP17f+1tJBHAbJDmwTVOGpwelyrxY8ScjO
SWc3KFKBacBcOg1dyLMFFqjr1javg5W591zgylF1aQlOmoTkfxtIk93CX0JhxHDab6VnOJ2Tf5Ez
F/UN0W7S/0GyfWu7rK1TlxGai6Z2mJEMFqN8RGfUiPezXP7IEjSuMgZKfoo+emtT1GXOAySEzii8
ufh9fl+5uUfSb8ELEPg2i2GSNSrqKk97oCeyFqbScFHdudPv5LmYvApcOoxBkeN0MSgFrycNOu9o
7qOOm9qKUgb0YW/VjuDq33HRoDEVharIbXJTfIJWDOAqInKo7ocFUkliE3f5X9vURoXYubHEOmz3
sWqGqmG22ZORfLk+ws2QdmVFoU/fOI4lUCo9XgmCq1qx07n5d1IoF8zkNMFZzy7YuUgeWrMUkqAz
2XCcrViT8HYiE07QKjLltVGECgZ15iBmFHaWNhcm+toYK7m5ZVYmKIeNBpqwjmXUmJKcB2GDYJYp
EEcTK2IgX3qxX1ZmqP0ioWUSrW4YSfeSof/ZKX4S3kp1F++kvd7Yw28o6aKUx1LU3MxdrWeQ2isG
yMKyZoRd+Q4PEwcoNT9yVXtEUqfxSHaBs1nvS8aMXmwcUR5TFZhlUDKiq2p0oz62WsO9vj3Jd1+Z
Txpr03F61EnodQK8QXElv/MVT/gf1EA376DV/NHY66rTIjUm66YhVSRBo1NzFg8sEhYpvGqfwErg
aP/dJjS6pwqMCLQxMFe0oaUNmEOOcYdvb8R3XnMS5UmUiyyiJMrQTYeJAzmZtKDf7vco3Sjxz+vr
s3mZwuuDxPTdDDnZq9utQobbmDOYASIfehghZO17Dr12XAHCEvS+TodOjlg6AJvuAohQPEsJBItW
duzVmTCC4FLj67cWRFbJ8O36qDYnD/AkEVqDJK1FnSaFk7igmJG7mIXQjufj3CI3WP+WdY7hlbaq
w0iM/muJLv0npdQhMwpLRNpQ9QwzeyXiu0No9rboar+ap4+j17D1VhbpiKBt0LqLhnGrGp85EDLG
Bkvtb9MxrCxQgUCFp2Cq57idx0r2ReW27UCSl7GULzc3wcoKtcFLXazVnoNDB6+krc0/gonFaMsa
B7W3wxy5CTTDD2iQvtWrg5qgHT1g1HI2Kx/r5SAfsTpAoAoMWsGAkWgHqsnOBleA0z7Je8kuTvqu
cuQX3h5P3e/JgVCVbQBXaV3f66xRkrOw+oB06ThlEDCP6FJ1+CJD+3jpoGuItdPJql94ciQl0IpE
8JoaNZsTmJFKqAaSF5P2Mh6DHYLuPfq7gLQtjqy7afPaWBmjZrUtQLLaCMT77aYb8gyc9pwn+joj
Nb197a7sUJOnxkkxBWQTkuCpi52CALQKt0FImBzyyszd39lR553rS7YFGMIZ/juXVDDTqpUQglmn
t6QH443A0/pfrUUyyfIbaAvMetdZ/KH+cd0qrcn+Jx4FPSAPHhA8DumCN8iSJtzxcLvv6ium4XKn
2A/V9yqS7AUeAeZPh3Qf2fxONvnYBNW8IzzlX6Lb6r49jT5rlbfd9N8PolxZAhLhEtRbqI0v6v1k
qE6rJC9FNdtoRHCvD34zmQ4w6b+Dp5xakpVKwo14xoH/1vwmW+keekyO/mog/m93ylOyfwhtxWZY
3XZyf61STk6uawOpNvJ88wZ7/g5S8n/eVZGv7KcjW+d+OxAygBoHlbeiwDOduwOlk0XwdCFL2joI
Yu1uV7icw0tm7xJ98tDmc4Zj2PQ/K4PUxOpJOJb6gnSpSooFfFGZoI2cwFdXMiIiEnpfOKCVIWou
Ey4MFi6FDU66T7tvZfXYTzsjv62Ge7AjMrzq9hFdWaPcXSYHoJ4g16zs5bclb+VIDwmzpZ5GGw2t
dySoFHbcjlUc2MADEzp5EY3nEnSgkEI8Xz9UBjJVRY+kNe8ll7+bXkZHAGt+aaXe+//cyJVtyQu/
xDfRPUm041px/yfsKplPer7x5IebgowAUaU6/5KkEcU2F5HWwQzc2yC+QKuMcJfdIyHgBhYru7+Z
lF6bo15eSaoV86y8m8u+tOQd649u+ZjsWVO8ubTIBWjoL9RVzDR1ROQomDuek8BCdJT30ErO/doL
dkZrKkfNU932lN0VT/0h8q47AzJfF/MJlBqU2lDvAlz3fD47EHvPYwSnH6ejF3FeVE9mkCV23YBU
hiU7s3UqwYP4rzEqAi74jCukhNzWkf5ap8XrkFZPo1Exwp+te3plhg5/0aATxqKC3VrcgMUEs9i7
yAv7LCTLZkKT1AnRyQg2U51O44CrrIWuKgpNYExx0AxjCweC8JtdycnuWNmpzaCe5NXxQhGBKNSo
lEoEVuxiqXBXBMfsUd/Pv8qn1NKOoz3fCN+JDmfKuJrfc5YXe2NlkdqSwWKMY0hq5AAxgpjfktzK
bcHVY+eWbPf2bM8PFbJ/puiWbuwyoTNbrnU9YMqHB3KiRFWGOomm/YDCAli3QstoJ0eGFJXUlmiA
Z1Vity7GtUXKmZdB2YNPDxaLCmyT0rdGYlz42450NaWUAy/FNmoLEa8Y8U54IfMJPrt7oLLd4VA9
pE/C83AAa5FX78YdyIMTv79BP4kb3Cff2s8cElVGyRlNkKj+UGONQNxVoMEeldhQQATQqOCuL10t
rheIUKl+H0MYqtVcXsgZHmf72KwsU3PQgXkx6XjUgNGm58nO5Ic3KupekF0BdvkzDxEIbv47TCpm
TwRljiIDSzq03e98Aqf1kGp+w4O45boj3dw7wOgBhiigNfe96WL14oEIGXSBBwBy+LQHGziIpIaO
kVVlmaAOxKSMpcjnmDi9fhM5aBQw8oxbkS9AhsBEA1UF+XDKw6SQPpirGkPojUJFui8Ou6+RXulv
ol5lym7kjPwz6Ji1ScrFgL5YjiAZhaJvfbsoYPMdWXmDjUnTUDhHugUNxcgEU3eOOs8iRAii0ZI6
zs/K8RZix4xTvdFQgwUnQTxCW0g3vUvYrNY+VYsJyuPxiNYw3irvhUN8JBnF9sROajNtkUVc2TJa
LZ1AujQiAJpuKrwM05t6B65Vhw3ofi+5UxfA2bioYEsKO0noBdga3E7E02xA3J57lZ97yjF7MJz4
FxFtEqzI79BEYzwaJW6C6hMUFufTS8UorSyUhpBjevNF/1L1i23Uyev107sRmWCk6JoF8wO6KmhO
E17JwfOYRLkJjWNUtHpuP3FyY5ZgzrevW9oqjZyZoiY1AmFrqckYTXKj7gsbFAicVfgGWO2AHtQS
K/AHB11JFtjv/NhV7wO03h1I2/D179i63c++g5pV0JmlHB7eeHZbwV3o4ynxI7Pj+9EDz+Zoglm7
cQxvuAcBIAi7E4f1Ct06lyCahhYW9M400JOc7+NqGZo8VpYR2HBQECrgPqmc6yPcCG21tQXK9cvl
3NV8DlWoMuqfIbL6rVXSnaTPVgd6PgmCJNfNbXjPM3PUwdSqEhf71ALjB/mo1zDJBD+ohJQQMFav
AQ+CyOv2tiZQQygNNAemEWiq8wksQeQX5qWE2Ez/GQ2yNU0h46ZmWaCWCDJZc6x1sKCpT3wkQiTl
1/UhbK0QAnUglRXIa0HB6XwIQT1pdSUQA3FiJaHxGCaAaoPH05WgEmOBcfHxusGtYw6xWxhTRB5B
AbUlMjUJpREUE6iOoHWVf1MmzSwn1pWz8f7Apv5rhdoJfZyHEScpxEWTpjO8kd8LZqycO2swlCPh
ekHnoFoD7ywutiA/FQJQG+CAvj5lW9t6PRjKTXRQ+YgBpAfdZBmiCxhSysjitrXW6k7SCyDxRPAV
MY4Sa2TUnb0U+tiDZBCOSeItZbwVNcgGLTGj0+y6FdAzne8+QR0DPl5gpRIasK4+lfPDnH7iXkHU
AfZICGxAEp3acDO4U+colkewR+7SUTe5/HbWWCrZmwNZGaH2W5FUYKwsYKSuRTsDr7kaeCp04K5v
hM3DurJCbbcE9JsxX8JKo3mNquxl8PLVrS8lHiDB99dtbW66lS1q0yWhsECrD0ujjMZwinkhA61i
A9wAlICApmna3XV7rBmkNhwkAKcaBM7gSx4BmS41cORVhwhMXdfNbGX2sRX+sx0QaZ9vuXgy8kIc
MYdh7qS3ohUfwDrjdr4omGpvQkARvZuzXzOeelsrZ6B5XgZqn7QQUfsDZPTgjYyArJyKU7FASnT4
uVQlyk6xrcZ3nxji2hi1TeBdy3KeEdFHO+gT2PyxtoBmQeFRfWnAcMbutd5aO3Rh4XhB0ASYSmp0
nMwPE59zeE4GsgV8uJmI0q7MhY/6JKStRAAboWuH59GFMnWujhDGw/YwF1mFbFuEgog6vHaTc33+
LnY+zKA5CnkjqFeSXuLzHcJnUDUsA+zEQZDCe96owaCu1SX48PNZ/pYaShMyNuXFLQ+LGBCOE7YG
Ggio+UMjbtwlZZeDzLkZffx9saFUOn29Pq5LxBplhtoXIC/nkwKziPxmcyNbwk5F0Kkcgh109d4W
B7Cuk+FB4Y0d6F5skHfLgBIoUCQEbTwVZXA5RIuEAZajHeqg31NfQK90azcH1AotxZKekDa3PzXa
vzbF82VUpr4u5wk2xz06okQoRBM138jVLGkPIlk0v0e3IaC+o//hhAc1Wios7Mu0GxB1474eZ8Ut
wSXsKwHXQpNFbxhemnjhs+chTCHQQe+lTDoHDGqQYthOUKuTctOAqONiRaD/v40gGsV5XZ3L3PPc
cG9th2guCDuk0K9P8ca2RegIXVi0sAIErFDbNuB7HgokLXj1gwwPtkOK7OB1Cxv75swCtWOhJoU0
YNDhgaufBCi5JQ9JePr/maDuOagi5lEeYBBiiiWS+Ww3p2JqVl3HMERX4MAspIBvD3LWYE8G1QkN
PhF6iStaiB+j3ddFacHK4ZNbO7n/FPTujzXgzCUePHWk/fJ8+4cQvUvL2HhRmwA6uM/l0jKcFl02
/scCWEwAE5JkVBbPLXBiHxk8xlM7ugeere84XLZ223vl0bgvwNoEJlsrPwqesles7mny8hPqjO7y
CtI6j/dZ553aKuRrDEIYBWoloi5Nv8XCWOaGhg9eIGoRL3dFCVZo5cv1rULt9wsT5O+rvE/SV2ox
LsGLDmE63Ak6x4hUqcMM2BhIAwhFC/pkRR5Q9/Pfb4whgjQCNI7iJXDH2C/qFwj0mJVY3UxJY4mi
f308dB7kH4PQj9fRKEAIvc8NqkErg4a/VU2QvsMTu7xV79unH5A3K1BOHEzxNPxOGjP7OjmlDeHd
LyICI+Sirn8GnQa5+AzKibVaaQz1iM8Yoc839rzFZ50LbKBZao05KZIZqOJdIUKyYxw8A1BEAVmi
CEkiRB2OkYhWUN8N1U0k/QLTLuvUXiw6WRQVPBg8MpeEyv18jsQShA5x3oGv5BiCrSay8lvDBW+s
XKExzV6sdoeAPzVZ/Q5UEPJnTlZmqcPVilAehCSpak5Taumomw8DkPPBXV2xXpebu25lidrVOWm2
C2UMMOaPXdz7KKhBWg3Iz3a2ZbUwhZGxzTeGhtYbpOlxdQFxQl8bIBhfQs7oQZAv3edyiHfzSYiA
goBw7PWNRVzc6nIkcwhOI6wZj54mMJ1Sc6hDty7nKzDxZ/HC36daq5kVFDGaJRnQJw3r0ix/rLnu
3aQCjnqo0IBA5aIEwXd6xeGRqZpl64pT+7VaWkYUd7lcyJuAeJqHcAZ6OQzKSSiBEWqClGONEnTu
F4ni90PwWqITs1WHp1HU/UKdvOsTeXkGYFMCZoQHBZgh0aSDEDaBdPYISS8ITlhQ/oAsNMPC5VKd
WXgHAaxca1QmTQu9NvQV1PPXTJe9KhRPitLvMzHcV5P6+/qALi4LdD+iuZRIGJCLmObE0jpsGrWu
FTOp9KOqYT/oeWgXPcfiCt+YOXR8oS3fEICYuKAjysAFA92GSjGFgH8t5XTXxwFj6lgmyIZZTV2q
4tqD3pdiwn+NJoSC7UVYfn18vjAAEcATaIABdnxuIwvyIoPoqQKBnSFxa168Ab0BXst6wGrMuBgN
XscgD4PkFowp6A4/t8SrQabGMc9DLhQ9eSL8ncDwChsW0FFMUM2gJdYA1j63YKT6FC6NAAuJ8kPI
f5ZD/v36bF1aQAYOIbGGmAjE6TSPx5LAGUHIajEF6WsvVGbYsGgfLpwAnqUg5SQwafgacJydjwFa
UrUu5yV4xHX1y9S3bkLkUyEyv9d07usUDYe2FlnQp4tDgwgfkSQ4LUixGiCZc6OFEiYQZI9HMyh+
x+mb1kF7Sny6PnUXd4OCbhyk00ELBRwOLohzG7NU93muKoNZ1LrPQcsRJG6m1v7oQ96+bolOBCFr
D84KBIroYESnq0yH47zM6UM1S4NJii/6ftrF++G58ytHPxGsZXNMIDblXze6MYVrmzQsZm6QRwje
bS7Q1CPVtNseIJnrRkSyEGf3HhkZkqkgBAHxD3IY55MYNlEUVtCzM5Mbko9+E7+TtpHymB7Vn9q3
G2kPlZ6beTc8ic+ZN5ojK51BrqBL++jAQxcxmvFoUE4dgiFUMIj9HXjRDp2f7hI/2bOS75eHQCF6
MCBSJcyG8OLnwyw4qYBOmzFAj7mIj6XRd69ZFyvHRVD1Q9x1qQMRe+NOBwk5a4ZJ0EePEI8eBIYq
mHhxHZ+bliFfxPGAV5uz1zuKC3Qwb4IYP5DM+BtJbAiglVmc/obbd3e8nxz73FRim7WDSfxy8RUo
lSogO0Y3GX1YoDTRq9A1Hkz1uLgilngwNatxQGlokb4gVgczjcR7PzGEWu8/9iivk49Smqcq7Cnm
bA04LyGI6omKBwsRRyPx3i2B6ghCDTII8i+uTSnELZD1mF9Qf3nlAoghRH2eWhe9JzHYbTxtr7vj
oXrLP4g8vjBMDbGf2mUKahjWmxRpRgBxdM2E8h96rRl7aMsV4MUK6nMoP6EYRnnTUEEpNE9DiFFC
cvAbNEWr21IyQivQjWh33SHQgIU/ozIkXKoa9BQQipxv13aWWqHPM/Bv5U1wmgwFLaMI7eWvsxgj
wK+1YYem8dFUhbGxszlsIIiqQfZaj0vGp2yMmmgqgFkeD12IwlDRK+RgmoRv9MlEluTEAW4J8Frq
NKXOcu+XhpBshBGN0FxA5IAylHXQLBpkyL6rXfPAFcEdJF1vw4rFekpDAt+nFoEk0DpwBYC3UHag
xV4u9YhLEaqF09tkK0A7hnvNSWZs0/BL4kd7Ft6ZZZNOUEN5PIc4FWxCA9Y2SlMFPj9AS8lYAgcI
viEXHMCMIHPL1wKfiuwtaolYNuKKVkEmVxaB3AQRhhkvhyAr7DoN7sWZS6zYyO7korfrSqo+HKmB
NmtllMRZK6OdqkR51GGcWjm47SJY9czKPZDloV3o2gR1VUK7UtTrGuOSAwUYiLnehWIZWtzE7RM+
QehRhc/xJEiQ3WU5ORLKXDNN3SFGk6V9AZ0nE8V5aMz+GgLZbNJ7o27MOuc+c1cgbANrCVhKFEGl
FhCsSpwQSzjjpMdjsXMnsTlL3k2W4WUOt1MZDTSXx48s3V9z1NLNPTQyWhVLJ421K+fowee+6UPj
XHds5Fcup/CvFWr1ipw32irBoKYwPUCj+lekI4d73cb2aVsNhVonOe8BI1RgZHCLXXwvOyGUIizF
4SF6C4zQiCSuL+2uG2UNjAqDa4Mb+iWHzSX7lkr3cft8/fcvc9EIEdfrQ91zUjznkDGGgc4dHQna
chMAcxpobABkc4snjlG4Zk4i5SZro0c6CfA8s7H1u8mWQIjaHapDbZcIIBpr9gVGrpZlkcZqB6Vu
TImKESpmjbwd2JziPdCNnQmBN6t9FA/cR9kL/twFYI8yUKJE7kmjJnUos0QrKgyyU1JPnx/FJvaG
3GcsHdlvF5seYC30X4C8Ee9k/H3lFZOB0/KlgE5c4yoP+p32QpgnUNZyUL5GcnCxSGd4aE+vDLtb
0aa6skt5ECGdITWrwu4fD5LZia3bsGoSDxK6rC2z6UFW5igPUi0Qng9ymJN5L01Ck0ueef6NMabN
c7YyQjkQcS7xIqtgBAwlaHUGUki3oc1O6F4gxwD9bbNgF0M379KVUcqh9JDpjgSygKQPS3ABsqpN
AyqHaDIsPX3XOJrHG+g3QfvOcWQFuJvP3vUyUq5Fk1Ojr9+XsTHT2wDsXGQlDUfystqqdyo2j2Gz
0ntMq9TRAF1hyEFtEQ+mOxRP7NHjazQxDGZtT7+lPeSxodWk/Ly+upsXLBpD0EiOJwuKo+cHJR34
fqxyRNgpOuYtREzOUgZOMRffohmqkhUY0hl3xfae/dciTQlTNWqqGT03mAKnCruhkrVDJLcILuSq
eLw+uO2d+9cUFdKDEmIO9IY8H+RDmZZWoLLQFpsWFKiugs0f4F+VWrJwDMZpAX+HmYRy7JRt1zgh
JLOd6+Mgi3DhzVZWqEVqkAWS0w5WshEvVjQ/dRApV98a1NdALoqw6zRl2meW6a9N+mooUJ0Pyho2
Sx1kZiq4J4PnLE8ZVjbnDwqJyC4B9QBYzPn2S5QK+tHIMZmzNLtCj2TAVD1dnzyWCcqTqEszVO0C
Eyl0yKZE39dCzShobN+jq2FQ/qLmwyxqe9jIbho3vAVeGqVB9SfaOhEr8DeNx1Ks+S8WUW3FrJHW
LmrihrjOirSAxdZpdvzT4pdW7JEGlXbX3KFV3u5ZCSumSWoi+6WtpiZ9NymBJYRwrBDfBMEq0tVo
B858f33lth0iks//GSQ1rbw4DnlXvk+r8CIiJsktw1181V72fWwui8XfDFCqYk4umbyL87ayS53q
OVK0ps2JXWBi9qCmdxfeNJze1bwWooMlmLkMm/XU2TAKgnNIHiFTTaiAqENejdBMjlthNnkj2ffZ
vK8y2dcl7uX6pG4cBygJSECH6QKpIVAbJ1niZYr1CtVrLRdERzaqBTwLYTgbDNjqRggGYmfQHqOR
kvTqUIu35Go+aWI6m3neddWXYEla3uO6qVSOMxcm4ZsQ57FqXR/d5SQio4GwHbhpJFBQTTr3J11q
QF5MR/tPxudP44gnuK664Gj58Mvt3Ay1VoMUKBnqPRgbklHdvBRmr/d3U18x7JDPPd+IxA5wQ0gF
I6lAZxQivh5UvoKdRGnuhXj+Xk7qI2+Eh0INADkQGl+TGwYK83IKYRBNtig9A/GA+uz5FOZASwGH
iXbJqgbjeNuYDS8joVi7H10pmEGzE/RLNQP0ktQUBukSiFAxwkqBx93Kkql35bniHM0QF4Yp8sXn
swhTKAO/92FD7oQyhVYaRUOyFCcrqkkejUvRNlgODoCS4TFXksZNk6T4zDSSg4xeK9RpaNhIV7QJ
QnMsnTroh0DujnL4o2lZcrPk0y+GtrIini+W0sgQFUsLbJABKi5jJ++zNHkLFB0oQhFyicoASThZ
B3axa2rvEyu4sk29dSqZ53SeTKs6JfsmLSxh4ky9ZmBLtvwV9r+KQgL6/fiL7QjZPqFV4K+03uPR
3xMUn0iQ4IQBxArHgSQojSiSUynNlgkWKsRSCYJebVY+7JbAHwI1VGSVUOUG9Op8mWadE6pExDKp
eWx2hp+o0M8bXj++Hmsj1F4Q0ynrBA47LhZ7c0juOvlOkZ+v29hy6gQPAG75d8ksslqrdzUv1n2h
VdJkjlkLlorGSozCDNF7VX/KQQCBgIOLug0MUhdVIYh9Io3YXoX4NRkBq9B+RB/lUSLZCPBo/TVC
xrsaz1T1TVtMMCK39yOyVKMs2NdnbMud4jZHLRhy6KigUqeE09UatCKwMOu93UErVUmgfzQzItCt
U4LShQQkL64JjWZlEDK5HfhUncxsKQ5BM3lxw5ItvTRxfhdRSz+H0TBVHQYSpYJgZkGgmIoU7z46
WzCiYhDQXSaKyNRsLWo391mGW6HK/o+0L2uOG1ea/UWMAHfylWSzF7V2Wbb1grBlD/d9A/nrb0Jz
znE3ml9jNDfmYWJCEyoBLAC1ZGXGELZM+rtWZU+W3vyr1UCpD7AT8CLo4rVSLnqFSi9OZNK2AAi5
qGiYm+trWd0wqD6AKZprdIsvXJ3ggwwLehzUtsb73rHpEWirWPK4rVQp4cU8kONEw5cOtnQAUitM
n5AJVMCJh8mBq7ha78NRh8SjIlXYWlkW14oCWAcEL+gZCeeyUAza9xEUSTRWepmJQdoykVyXK61N
vqY/NoRj6UQRhtRr2NDRvOmPagBinGTDVdH6DYPKgs/uWj8KZWoVl7cbNwvQHS4cNDxMIXocOUF6
bkBfvFwechymdB5CUr8Us/vp4ACGoJoO/V1oiF2oRdp6vGQ9Rrq8eAbFcPMMeSPfTG3JNq5+qRMr
woOQ13apT7hDPVrVe3u40RMZR/jl5YZ1cLIdBDnAGIg8i6lagH/BikBZ7A6BqRTbRNXCCGn89ZO0
0ps9tyPcPXU7t6jjxMybG7cEmIFES0M5q68xPjRUqZRjR5ni60WdeU3c2THYcGt98MCJ48Y7d7IW
aZ9/dXNPli4cg9ye7bLRsfTJ5/Iq9i55zED6u2DMnN5oN+5e965vgsygcCZqFTFEq8EgjW5x6P0o
lw0SyCwIkX+bACZf8iVZCCBUAuiaTLNi9YABGYfeGn+oxHJP3nV1NM+wULh3JGmDtPrdNI3HVMn5
Wr9ATgwJm4V+a0zUAYbgBGNAIHDdfKmAD95B4+vY/0h3Vdje5ltp1/ky1eCO+meBwhayWonylC8Q
qiNg865Dy9nEwGhDj3YA2GXeMxDiefhy/2B+iB/n81wAtrnCEIINxJniMEOXgI1nngHI4ipHbJ+h
e1n4GdQWgb1+lJEKXSYeMAZQGAA+MHlBEgqRpoUi1OUNvx6Kgf90dnil6HRmRwSDQci7qNsOdnqI
kbvf0u/tdy5KOoTjRtkSTEfJqz+r+/hnaWLmVlLGKJCL3OQYcPqw/qeNFxWogVAJ1E8H7Xx90GjS
AaEHGkzIDDqmmFRLuTHn3Vze+/aXJoWarV+fJ0aEh4AYtCqcHEYM6E/Nt3HAtcXiXfkoZ+iX2hIi
OGZE4CSsKN894te/9J3CuyZP7WMk5WBedQ6wgWkoJOD1cS/AbVDASMGfB8AFqKYsDGeAjmyThpyV
MHMhMgql4FB68a+9eadGhSPeOyWxUQb9GyRgolX7F2bKyoATTjv3VvsIWrkg/SKD/IpsRPASLtGL
w8a1RoEz5wfyJFMpxkYt69bmZsmHnMSCne09e6sFZGdKwvDV+/PEmlj9N/I+L4wO1uits01TL/6u
bfRdtaUv1hGF+o2Dhn7vJ6Cyu/7ISQ0L5yHKa4yRNDCs3ztbPWwidMBixH3p64Ixlw2Y2DEYNX2V
lXzX7u2P0SVXxdDhBaQ2ybJxnhIFQTRQiEX+E3B0X1czxLYHYj1K1siPgHhRnxoTwsyqVUcKZCSi
v72Z+1xwlQbqHaD8mALj3KWfB9RyQAtGv/6zOMF1tMZBnUjlR9LeVwPoELsdVXPZl1s9F3+sXLiM
oswGpbDCxmcLs27Zhu4xc7k8Ne9outuAQ/4jmbeVEunp4sSpWaKQaEbZA56K2C8qNIhZ3MR2aJaY
07E8MsjwVqsX3MluirNOZmErBR2xzs706n0BrXn1KX4dMfzF5dAlrsLHqK+4ish+VmtN3g4Tbm7I
5+3zZz4NOYdWWH+RTQau3y8nn08IsRO1yupmxrJmI6w/1EmdoJ93zK/Q8UjCUkb+vRZsnm6jED9H
k02HPIU9xa43phL5QHrKdk/mG0IUyMh/d68PAhak3/E4PKdJCK+MiTer4IRiGx1N9QjsBu6r7C6T
HQjhoTCWegA5BL6dPinveps81WX82CyFrFMr9UjhPjFn25hYhiMwHJaQC4nRY3xHvRb3s+z1Wwvg
T7+acJWQol1MK8dXwzXS6dFWKV8zat3QepFE8OvuYWB6AzA8sO4IYcRg0YKpCTK+ovwVpa+FFPq0
/nVsKK6CQl/HROz5e6q2szaq/LoaQ7rNbtp79WbcRVt9S0ItsG603fTVlaSxMpOCO1LFMAqWIjmw
4X4jSoHdAtbEVFZsXt+6PysT/E51RkzgxjBjsDksc2tjUqnczfp7+ceG4HJRhwnU2obL1bpvHToP
g9qWrzxFv40H1NTmb9QjXnzQ02DB872VXIoy44ITYvR8yCcXxiHvzrwy2iR3HKATvYFNIO695ltX
eSUKxlBXlQtfr0co0ET/j+OIg0sQMzWrOcH2jiE0ovq9uku+4CBkGFMfNxA42UahuZ9v/uUF/ceu
EBkligHZMr7l3WYGqzF0VVKP7MeNEZJd87WSnL/VsiJQsP9bppAzlFZa0NjEMjmSjfyoRgyrOwE6
gptK90j5D9SapDsrnHlQv5B60bBC5y3JveRDLQpgrxfXf2++zSEJy032LA11+b5dPrF/Fio8fPVg
R2O8wCp/Ysvw76SZP7LVvSwQW1+hRtCD5IhtlBnPLx3Lwv2p89yh2eT7Ftiap86vwDtjePM7eY/v
IIwYEun7sBpEnFgVzkuEawbwbTxE8Z6nDkjJ7vQtJzSXzWOvADYQaf6xJILuCXOV2ubrw+gLEGwg
os68/N4JDOAfU+9LEXulNHJZve5ObArnYjLSLC4S2ISGktdQ19eH79cvHJkF4Sgog5GWJd8/o3rO
iu9jJYuF1hPZkzUInr+MoMgrC6yhRZXDTpDFopQKmsXpiJkwPOS5L80n+Ue/cPsTk4LbO5jJBGAb
i+Ln2yV3pRbox2WX+fWGpEeaHdFDCnJQ70+vtP8HqlerkcSJfeH9Jcqoxl0P+0kNiKFeFu+FTb/X
GnmLFlvy8Er3V3h5e9uKDJX7JTlovuWDWOfOKsMuZGCwzIK48VrFy79d95r1G/RkhcI73CbawvIU
RpXuQLcoBaaB+WQdQboxHfu3Bnya8ukz2a4KF0xeg9gRo8lIwlyvRd8kfk+g1oYzse26Db9A55vu
Z7eTTVPKnEm4YZjiKG4+wuwIouhuO4J8XtnKNeHWk5Q/Wyq+vSWK4G6hwA5IZTUPAHn0ugrMakY+
u5UXIz5azJdnxNANHVK2yJ+FL6ixHHIw/GrpAP/vHtmOP72kg345/Sih9a/6X5wClZOFadth59wP
+/bWlZJD/x/r/vOHCJ8VMLja6cA2iP3Voeg+QHoP3ObPnNAckBJZ4rJ+3/2xJnzNCbIFqsrLamb8
1NiOH429rFhw3QTKaecPIVM6iAjwA8nLuuV3+yYPow2vSpqOTz7UgfvJk5xHfk3/318TLdlzm9ny
3685+X8LsnI5ESCotvomu5cGqathhfbfTQRwRbDWjmxyue9ACW/XPjMPXdnDsE8P7l72vVbzCg0E
tZiUBM2UiBxMK61gyYwIpm1AZJeFk3Xo9VnyydaMOODkAzsZ4OIX3Wyttu0qqXPmqVHhR0j7YiNI
yia4/pHW/IJjtTi3N3CQIhbHsUHrDTAW83r1iDs7qCxZb3ltHScWRPJwzZqhuzBlzGP9sK0X0Bmj
cJzMMmDzaqh3akfwtihlRoJf+3cnSA0wfeJ4muItQ5jfFHs+FIW3b0wDunijNJ5YcT6NoB8L6gYM
eJofT9NJsbh1k9aYKvL3cPn4zIU6s70R0q//oAjP7x7hWMEWqEAAgkeB0RFjlzK1QVw38xmiAeoS
MUQzDskjyH9ADhj/hCpTCOkp21P6INM26aNs6HLtbjyzz13qZK3mYOsNyLb5QUt2CU9TrAAJoOpr
3qT4Eei+r7voyhML3CxIUkGVillWkVYityGl2TjqBGC88ct0AHtWnmza/0onaRdzxVdhCkBd4CPB
xWEKS6tMNYXaOWAQ4+gGLbGftMi2/XjS7ktN37ml8z2J4rdBpXvIs73kWf6tyzCyGA/b2M73Kqlk
ckUrx1PjiQs8CoO8jiZcagPmBTI2YO1DSr2YQuBiptJ5I+4wokNhhha4CDD4aFAhPP+gLG4ICL/x
QT8S3aOKPodNkCKhtb7Rbgj1ZYOEa+EhYBL4oiqiXgLCpXOLC4ldfXQ67sJIW44UQ02YcTIfk5fl
VTtWIGRzZBOTq59W1xwLVBcgCxEzwZ42XcEWmMxzH90Wj1T3mbzxt/q9TqwIL3maDnFiz7Ay+eW+
3fcPCeKGelPsdeyltZPLWa8uC2hvTieFUyk2AdQqytTcapHCI9frU/Nr1laBWer/ogQE4hNUB2EL
wFBxbIlGduMW/YgvFgUDgrJklwdoiKHdPYK1chqAE1o2oK38KSvDrO7oH8Pi9BLa0RGxGAzXMRRt
qYERrd6ksmbK6jaeWBEcco5nN6tGWImV+SEneWhhmtHrE03yqK+woFin+ygeaDbWjjr3A3eQ9qgc
tS3vaKRgKMwaD14JnheArVofTISHKph26l7G+bt6m56sVHg9LKfOwBiIlTb0IWuoN4N82nDAzCFH
7KzeKyemhHuFLBGI1BqY4nKFsd9t8VI8WAHzbZRCYsOT1cpXX6YTJxURrE7XDFqD9g2yFUTtqheH
zq8a7olsBcOMgSttTa2kYWdfU0hzM6Dsi6XGCkcIn5HNwM1CCyzb8ulF62UK9cMcaF6nbeSNf9nB
EHIlC8S18TxhsanyZimaR3vJLMT6LX3y/YQkKNZBfW3z1f3dAe/8/BktKo+EnrUDvYpkfGV9PeCq
AMeSjbdeeOqYroIQZJzgmLZTe/WkfEnc7vl6KLFWIuD8TRrQ1Bh/Ayzq/OGxwexupdwl4z1wgGG3
LXxgzw1Ix8e7dmunnvkiscg/w8XjemJRWBaZ7KWmWBcOAd0Wh+hmehsMj0ulQBEoLL7PR/ZaBfNu
luJU+W++Zlk46R2kRBRIK/5tucSgea76vMalbrDSXgpT/YAKX7MnHHd9aGg28Tt0uQfxj19EQJCO
O4V46g37IFZujrVn+pi1utF/t7emD2oLeUFm/dL584X5TX8SnRrOGNNiwV/RBqXmDXec03lBl2mB
jhS7k9cs1l+OP/aEK6DNFwWCIrAXMdvP+l8O5IfVWII2V1e9CGBjUCrz6XqRnZIMLKkgHQEMMAjV
UOiNv9WxNzwCerxpAvtRP6ib/lGHUlYoA2qsvhcnloVrJqmLMlY4cnZImxfVrnazgwHtxYTI22w/
XT8sq1cAcl4DKGdQn308niffrh2Vwuo40rkbwW1iqV6pypQG1y81DP1BmA84MCI+wPWSKpVNkKnx
NwLp9LLrv/JTQQL9txF7tQ+Qoqy1s7YuDfS/IOYCzhlzUec+ac0dMJgOMjb+EBaAv6MOwsPrDtOk
e2CmgvmrLGxaocVCWn1iU4hEDeaYrDVh09j2++IARU7UJONdcS/NByWrEyM0tegMu0o/0oc3zuKS
Az8UefQIJWtwMOS/Zc/8agx1sjTRTTI91ROqw+AYqu+gCrkhW+2Q7DhuKTqCCCiY7zMjaIFXBFix
8NI3aS977ZJB5gKqC4NgaE/UJoY0bzqS6eODMiAWOUVCgQQm98zDuE2eZU/jamADFJqjIv/lKrnC
IZzcCt0KBW9jlnv1Cy9uJG8sApyCsxSMlS/rK61+Ugda9CAB+yCMPHdYIzaMccmxvqbUur0x6m1o
TyyXTJqtnkUdo+igJQEhIOq952YcZejbsgczwbSYXai02XhbA5m/STG2e5yHBJK1VdJ5VZ24gUZY
709uAW4nOmavReP226FqS9+1ujK8fg+ttdW0kz9MrFmlubW4NMIfxhGp1ROolSvfarxog/gH8WSH
yT8F6CPZoV3bduT5kIMBu5wFYZjz/UAvAfKVS4yQDuj2hYSzvWyur0xmQYhGzGxQsqiCBUOpcU56
u7sdkzKS3OMXzxXiKwf8/yBL5Zk2ZnHOF9KRD/fJECtup7/w3D9Mh2kDafSnPChupxpgFj9+sl9B
Qrj93Pp4YIdJJgulBVzx0B84NwwSstpIGTfctL5SNv5IHe+6iYvDiAoJ1AVAsYipPBgSKwmg4xod
bSz+QgaXh/VDtwU/ONQjN10PtGTty3rYYoABbWzui+CngzEHpJLnSyKkijuSOX8BSOhZ1PWy6MdY
yvLSi+oprCDqJtD8BJTduqgBTS6GzZidRSBUAN96tu9f9KB8Tr7UOzv2oadqJN78Mn6JQtldKnok
N4xPBaJIjaC0IGpFLKne5bkLwzT7ahv3efzy2c8FJlqw3eK5B6chHxQ4378G+g/9jAEqBIQscDDL
tOt3fGzEhDrE1t1L+7z8952GwaAX5bwapsVVDvA2CPbqeTDIbMFeui+ezBvI0SK/mIL6SZN6+8Uj
L9oSfCNJzVExTdgytu3e3I07fasizv0Hli68UFiVkEzE3UzSLgbHBQ9h3H43YAKBL4scwRM3btvb
4V4OfvsIxq7tpXCcR72EUp6L9bEQlETVVo89kIIF4CVy+30eZtsuYJs+useU8jt023Y9KO8T6OLK
rpWLl+pjo3HsdfCZYvhCLLOB9tjGdPl/ls8hqG6x74Lu2D9l0KatNsu31AgkjrvmSHxQ1uHyYKA3
FKJGNivUgnIs/7jFXYMIjsslOV7z8g8Uq9c+L1ihwVJhoPeKoezzQ1LFpGUzdB4865EXMqBWgS62
4o8HEhKgiIt7+VjjhUkcRUyygAyT4G4DIf65SUOnGeg3KJ/+doM8x+THppC84/xXnLkPeDZtqGIT
14IiPGb/zk0k9WS0OSOpl7qYBMe7Q2TiGBcFBdQQcHXhqIOLD9wbhhDCdGzMSJnFGY/MplfcmUH9
zFP7IUjLAIVsaZp9EZsIFk2hk2t1LmbzSlh0n2uUmDEmEAy3HL0ybmCyRTYhrzVJjQqX2rCY+Yh5
QAC+fzi4arRNHZb3cfg/o7UPeTRfcgBWPOR0b0VOucWetF5p+d6+TiDdUYM6hJD6h1FSoNuEuS4A
da4bXXGZM5vCPddl6pK0ToR7xIYQaGXUm9JxKlkIIbMi+P5sxZgHmLCydG9t8wc3zA5sxzdzsTzN
wwS+L0uaxErlh9egOcmTFhUU3MIBTzvdamIL6+LSk8O2x0uhbNODLFi5gEaLdoQjR1LLWQoddiCl
6S1HXgdtd9UxRsHQfPgXn+pkScLRS0BqSLIGphTcwFq8i/RWEk1ehnr8dP8xIZ41xQAlm2XAhOkh
ft3zzJZjB9WDvqm31tP19YiqypwK48yacMhUl449b+j8Zw6u89MSY//BdIsaxY7uHBRGLEBeuW3X
UIFS45fy5CcmUk5ZKnLhL6hVgN8A/BmuxkNp4TtOlrogVmxmSJUWd1xNegiTh34rSzS5253d0DCD
+AxtJdDMuOCoPL+hrcwsBsNCW9MorHvTbUrf1KvHRWOvyQhVG/AmBdc3+eJOEQwK66pGNx+akc1+
HRe+0u8sCmopRwJ/E2tm6DLyKg/wpgipLfjP+aoWqOQ1MQPe3KiIcw9r7/gff0YTGFpTKs2i+W+7
3MM/1gS3KZraVQy3BNGFMwGFXVqJ+W2GMnYSqIm9fGmjcQj7FrMyzAF02qyr0Eh18snqvbhkIRKd
apCpFqZSeowOXyDW4QMS//v6p7u4NPmugpbcRpvatQF+ON/V3lQMq0naytONEVekrn+tTZlSzkex
6mIzT4wI/rHEZU7tqZuh2M4CiF2Fww8OEeVVrQq0qV7xTbuPn3S/CavnJGTp5voaV93TAYAEKgVY
odhm7ZQY8YQN8860eHb6opedt4z/wggnsEBWhDYLNKTON9K1o8okaTv7qhp7dlZ69viGIQbJI3f5
uVBghcSbYQBtxtnOz63kScaqxuC/fTLBMkiPdirD/Fzuls0JfoBawg0CZgfhsdbbSNGSyEFpH7Ii
LbL9PAVpdWJJ7ozLNAtKTSBTx+OJRjviVcHO5PRWP5V56eHFIT5IwvzUcbb2ZAXQet5XVv8THFrP
agzO8dhMJfu4skigigzMBeA2RhFQNK7OWT1BLdFv1EMK6JTVRP6cvlz3O+7W524PsXVAQNCcRooM
Wefzj+VQd55Rd1z8WdFe2+lbN7WbcqjDVr/PIJTeQofousGVVYGpC1UaB9gzfprPDdpTCcF1SA+B
d6b4TUcr2ZgptHXwAZTPJgGQkMP+6TrSf1RPPyKWk6ZCg0mDjGkuwoQ5djbToBo/h2x2ZWwRlwty
wNPEVfIgt2U5IiYwslGhHSLI1s9jHdD6aeq+Y+0SX7h8WGCEF54hAmtyRNT5rjWMdHht+DVUpKk/
OwRTgubCHsyyhR7FZFBZu+TyfXaAugK/ATJclNxFMY9kKhM6GxC2GzITELoKPONN+VdvTc85+s/e
RKiM9XJtiQZIuzimxUWRTYjqcmaDq7pJCmhuaf6ypF5VoqDRHwxZf1Ri6OPQn/gFwRCKVuswpCjD
1u7yV80Bx2VH1ZsyS35+1tsdlAoBseQcfyBfFb4bdcc2VqsURN9lFdL4kC9RkDoy/aXLG5db4TEH
pIKBShW2rkkXZQDVfOFZShLtRtf4FdE03V1fypoR28C9jk490mrxFR6xukJVAHTLnSr62fVd7E1F
1n69bmXtNJ1aEZ5hCpEFiJTBymTkN85SkbeOsfFuVg2Z0OCaJTRU8BiC1pXTK50fqYLpg5vW5oTI
bDhWirK3c/Y45p9V/kChA90iR0cZEv9clDnxrtNqGWEmUh4i59iwr/koCcEuVsIr0vj8uH00iMg5
wp6VEG4oqKsV3tyCrZhED5DF8tRqevzkpxHMCBumNnSwcgIzmTNvKvpXZAID1tib/y8r4uCBQ6c0
mTRYWRIoX9HkkMQoRS3Z+6fNoOys4mFFxxlVHL6nJ5eAU+Lmy5K28PBAPHRjtZ81hof8s8xkABzC
DAIh1BbA8SkGENXU23BpjEG3Zf5sWdadosglIXhAdfaGfxhxwHmHJoGGeOF8LZadlAmLmsJDeKf5
oARBeSG3Hzva6ze9HgVdmYbIfUa/spV9kZZm6GBgdddjOHb7+V1VUdWDeiJKb2gonP8lS9OR0Rkx
HIp36ZgMaK0n9FuuE8lVtOLwQOtiRyH/h+dQrA8xU4uVBBNVPqnjp0XxQT/7MuWSU3XxAmJX8auR
oX7EEDp/Rk48BNlxGxkOhQq63m00XdlWA8oBab0nS7PPeglUYG1JmMEGky5k13myc24Nci9JTmIF
1hbye0rJ6OtjV/uZXsn4+C6eP6wLwaQNWQhER7j+zi31CUkgNYkKQ9pX8Rc9zmOIyPdZEzqZY6Pg
DiCPGV53i7WtBLQDZWagSFFr5j8/2UrdcSelrTLmE6PaGD3dDFDtUsxvWjzuKpJInPCyeMNXCB1C
0IAi9EO+c24OdG/oZ80gUtfcdLkfWqN5nfPSDsei1IO+GMlNBljPQ9I18y0aftXt3NwykF7rlMgK
SReP5vmfIsYamjolIyiAC6g7omzZf8/0h+tbu27ABuEpzj3mzQQvtVutZaoK2ayp0o0mpDroVXzk
yf1n1Wv5TYan/3+GhG9oaomStYOL59+kReyDhb/87kAWQ/UizCS4Hsj4x8RfEMfLANyrSwRoDwoj
AIwDq37+OUkP/ZKZUCQjFbtpphSlm15yoaybQLWLl/MRrAkvaJxPQHQuEaTjozGEw+zqJftx/UOt
ngFwCyGEd4DWFuuwxWjac1oy5hvlb5RjirdoDnEAISr9WcjYx5dCA4RPTADJITJzazMpOzXCxeUy
xO8NFIA9o7Fbv8FAzlGb2uWgdEAxFHQAaVmltz7GK9pdaU5IyohZRH6R6qZPJ8PCWzLSDfr8UahP
vbu5viOrVx50jUFcjtfigh+9Bhqr0pcCfF/FjUJTqMH9NRav121ctmngtgjvgNcBVyv0GYUAHKp9
7TS6MMJUb/hrQZuG7bS93nnDNy3sIUwjG1pZcyXIBIBsG017E7Cdc291k2mpF6eEQWvGvBF4E/Tg
+pq4M4rP/akFwVnVuCrQay5wgTdz87vJmzYcCWs31jyCJQGVshtUr387c5xI3qg1F4ZAoIV/EGZg
POV8af0EbW5VKUsPwoDPPZhDPaBKQPPXlnTTTO272Qz0+fpaV+/yU5vC4TeraHCcoWZ+vK/3fAy1
99qNuwWtHwaOZC38tafx1JjgLANmblqdVKBcaNs5dKmShkBhdJ6JGtCdozH9y/XVrZ0AYKAwPQZ0
ILTsBF9pii42LK0Gr3Ol4YglU71peiMOrDxPJU/wmlvi9kSRBx8PrVH+p5w8wVbSp3NRGZM/6Pqe
Gf3RSrR/cYmiWQ00Fyo7PMI4NzHNMA+id+S6zYASqrWM3pgpn8Wm89vt1Irg/VnlkqWnyKes23JP
XlWwlvHOTPRSfYz6JVLuu8vuDLcI5WK8fbwmIia+KGJltTpYyOB+qN/SxGNB/oAGbDhsuEITJu0C
Gti+ijmHd0v3E4gsGjfxJpEinNe8Be8fOPjACW6A7f58f2etntJeRw2oiwp91yzt71ovRwxMybhm
13wFySQCir+1EARDyGNzCzA7lBPSDoyWVZlgzE8W8K4bQSUaHHC4KS3+8xOHtJOxGSMLEmgLS8uH
xZrcsKhp5l8/YatWIPYB1V8NoC2xOFdF05J/ZAosoXgC/KR3JBZWv4rDw0xUGZH2CF7fpiUOds8K
9I2XF2bYYTIBpEJ/XV/HqhUXGA0kVShDi/A2qk+TpSsGalbtZHuNEpl/WX0c36KEIevkrt3yOMQq
H89DB9AULkG0p52smgngs0iRf8WRBoGKyMqS92bqs+KexoaZ3eVI7LLN9TWufCtksBj/R0yAeEB8
qt22YEPj2iU0Uu0kqGzjL4y1/b5uY2UfoTgLFktIz6IWY4tfyxopbYx69vPkiKKpx+zvCapz142s
PNBnRoQrqgDQpqJtW3pai6Q8S6bQGrMfY2ICptSNPo7X26RFMu3Qle+GvBGgF2jqmkglhe+GwLMa
Chsd1d5qbd9utDKktHYOOaQjnqKqUTZVDGbH60td+Wagwf3jLPznJ6e4bdrFjfO58Jz63Zpuo042
abXyJOuIYQHYt1E118V2dE4qq1LmqPSSJccAd91VyR4BAXkEaBEkQvOcB59e0ZlBIXlkUOqlTRPD
4Ai9vZmyYFRlhCUruwaslYuKPQBEHNt9vms1JETHoUCHLMny8pEMg3lXu/pnScnxUvJsBvsGon9w
QAu+XraNlmAkBudJy28xqA5yZH2SUaBd4j5gBbEuRlCR26to6JyvxSxIAtF3OLtls8hX9WJbJapH
52zX9upvh7b+CMElz5k76jW99rwYtiQFXnMRC7y0cHug8i8EBlS1H+O0hzpGqfW3KXmyVYwEkCmg
/yLAQZsHQjqgy9f5NNn5UpeCAplH4RW1qvookEMSTkbXsXI/6bxthWtQ52hc/vOT86SMIzVrzYGJ
sfg5jGPrAVT6hTTs081FfDbkoZj6xm0ETxQMTWPaAUGDz7YYcefRtNqCnGuAmJMhSRrWfB0VVvgA
QiggwwX/mNgURWZfQAu6q5QtK6vSr9X00x0QLIfrXWvITZD0iiVQqo5NA3272bdG2yfj12L5ev1a
WPkw6K5AxwuRhIs6rrBfNB/TtkiBQYhn1e87O+S6zCR2ttfNcBcScjs4l8aJHx0Ur8Q3sKnmQq0s
A03ttsqhVBzfme5dUnHUG6Tut61qykoflwhXF4Vj3jngNVtI5ggXnssspavLsQRMevbnTRkMX5Di
8ZCWq47WBy6gs7++yrWsHE89JrFgz8ZNKOxm7iJNpVqHF9IiAxCUkAJqFT1Uy/2wPKSd7SUlKhds
C62o2CZaUNHloE6V+/nXC/kQCPIB7EU9VxdeL9AbqYwmwARVanQA5vbOjWQ8/CsfFEhXlCCQyPFK
Nf/5yYEmbUKKKEow8pVPYemwoIZElLt0m8Ktt9r0en1jVyIPHGp0imEOlWRDiDw6DWWyIrNm38TV
6xCPsfcyumHYQXv8aU0StNPq2k6sCZ6ToLpZ9CYBZMbsoJ9qpMdEyfda39xMI8aUchlT6Vom9lGF
RHCDpAFXyvlmAjXQqIqi4ZTfxi/5L/Skd3ZYHZoPUvxtdehBoss2BqjcUO16KML+UT4Wuea7Z3+E
4DRq65KIOUkFhrP0V7l3fqBIwLZGQMKWBQ0YLEpld/2rrr2xMPkRsaKXjFbi+brVqoyjxYRJY6u8
D1tOSUV3zb5/VKTZ7so9d2ZK8CDQIYymNi3AIbG3KN/C0zzqyOos0gUJnlPrU1Z3fEFcvIG+grIn
IPtqP73MO+NJsnmrK+ITmAjrUEH++J4nJ7DIyQwiMwDUqpkPYoPvr/xabyYApq17LeR6mvJC0rqT
nBgVnKRrDdqpBTyVhc2r5s+34425waz5kxEWQRLIugCXUzyonyKYRNCAURpO1nHuIVUdTSgK4iab
/Po4ARe10zErWPkuSiP1q/O+vLLtvJMhbFa39sSqUCiYCzduVBJVCM73FXRxXeumYjIV4w8IkvAm
nq3twvtbRJOI9CFPPQZlG1i17zwqz8aBK43TPQpO9U/2VL66W1AMhnYwHBtIluLt0jz8p+TpWgln
MPmF8EzF42wATHe+0Xk/sibVo8VndYY26zCHc13KalwrES26cyD4RN0ChTSx0JqbKnXmEcRinH9h
sLzqQPcJ5EUUjPEvvu7rm+J++ClDil9+TbRuIYqKuJO3B8WKzJAlZT9raAxi7HXfEMyEuFZ97FxL
ht673EMYQjEDUFnI+oA963wPF0sdZ4xOEL8vvw/0VWGSVsvqQk5+v3b++zUnHdo5MlGn1sFWkQG8
zeqvRif5SjIrwmNkmFUyzq6BJC7pH4ZsOejOs8urZtfvr0tfON8s4SYpx4mZbkQwttZ8G8jisQH1
6KUOCvvxuqGV9WhAqMDxIAKJm0QwpPYTrxm4KI205MYc7kr2FlNZJ5hf7OdnmZNvIFtE7x7/vsCx
RdFikCRd/HTfgwJ43EFe/iBHl694GCI6TPOjcMAZ9AQP66iFMVe7Lz3XxNCYqb+msyOZYV4zARgU
sIx4j0EnIDxhCdrdLgP2z0sKe1drzZGmMizUyqdHPvM/ExeKPMvodhbDKpSR3fZMPWbF81wXr9bA
JD3DtW+PvBYCY4C7Iu0QFtNEOkS/SoT9GMve2HkOxpDqscU1et3FLsPTDx3a/5oR8cdJlMbmUsxA
tC7pVjG+tGoa5vOvJo5u87j361zGlnoZoapQ0oLMHKr3YFETM/YkNRy0corFj5si8ZVYfXWp9Rg3
Bqp+fbnFKP/m+gpX/PvMoBA+QeHUdJzeXXzD7N8JBvQj9AWa9H3sMLbFcr83552mfbluVLZK4etp
nWmMNMrB2pZ1kJ99s4aXBCjRqUmDjKiSFa44JQIpLkYLMrDLdLFF0zkCbeTi9zp5IYp1a49sAxzA
T8Oksrh3zRbgGxikQHmJt1PPL/IYdS1cVNBaNLYpksAf7jeMxgTKBqKLg6+9168kSDfyaXyZWf7z
k4hRA1E5euXNgimw+Yb0IH8HKrCbyq25yAbCVk2hA4jCAtdCFGt0usGhWz301bPU8HsCyVroJGRt
7blpLzl8a14CCDEkjThCCyxI56vqpo5Uy1wvvkUUQF0G37Axxd6ExLwp0ji47pIrtyPamrgVIZOL
oqDIAGsPBYtyDcaIEufhlGVzsNSy4dwPfTDhNQFUGEEY3ANhhAhlqow8VZjbEMxsoDLDgtgHVzHn
0tZBi0634x44FbhLE0yBe1BvMA+qH6NDfjN9q16Wt9pX9lGP+cV/EUjhz0IFD4VX9Olsvjkn/jNS
Pe+THEKabls772rNBg9g9PJrH03O5/cZwAaM1YAyGfGiWPdSpiGOSqYvfo5B1wJ1L2t//UOuOCjK
umhsYSYFwZrY/MyckcOsMGlRsrBsv6OS51XKfcTer5tZ8ZczM8K92aCpTBId8Lc0zt50K//hklyT
HIBVGygRQrMevok+ifBZOkCxYhMvdhlpz1lpbtJRebu+jBW4AviFMPoFqWMUlS7qt9ky9e1Uo7Jf
a9ipsTYWFLDw/gxRlfkIvX5h2jq6H1QAUpQ+y/zWiIpNk9rfzDI1Jb6x+ulQZcO0BVQDUeQ7X6/V
1Lo9uoCG2UruOVl0zKYbcIHuyuLzxWS+6j+WhHuaFYlrLQosDZoZxo4eTKP9a+rH/0fadS3JjSPb
L2IEvXmlKdfVTm1kXhgt0yToSdB//T3o2VFXobGFK+3sxO6DNpQFMJFIZJ5zUrIg9tdwxx3NQTxO
WLxk2hHnC+rG3NYyiiylwgCLvVFl6wbFiuSuHMrkj8GfWBHyRgjhMDlYPliOjQ2CeooVzUNq2T6t
B2eL3BUzf2dd21KXGL5L+/HXZfcRLRDBDBg7xs/C2N/zBSqNTrsUsix+oqpNsJQgrjt2fw8VHKnQ
DYv2/F6+AaOY7B5Scu6Oi91smfsSe1m0zUgA6U6KB0UzJhVl18r9FBNK0ebIbb8xEvq8tE2LMTOz
A+qHusSLJTmagsSQ1Uh1AHrffg13NPtxdLq0BvCGTRCKvDTGcLEyN/06M43QntR1l5Rqc416cior
LwhNM7kaYBvZgeWuxaEj/TSraDBCvHVFXc2iNjAk8Zh81uJl/qanXvXqNSmmDTY9kSmlC+5klITx
j4VyJloX3BEtbSNPdBvNRqO17E1eGS1+gW2kER0IZlOU86jhj3Rdku6/VSk+fH0XD3AggBlFiqti
jEmmEwo4oo9UVX9OMo/sGmcgV0XdQ7xgwW+Je9yWlp0nu3Ut12OvGorkiImcHT6O9MBic5n5vkOP
Lz7oLFQa1o+8LnzHpQH+3xLPEgVBC9cXWmqQgfhwpEw6qrU1eGrgmWWY17qva83WBdpwMSWx/8MM
A7YY1rMDyBMMaZRtzk9v5TU1ySp2h+VZMGejEUJ94ltWNbf6WHQ+xqvbfqKvcaA1FDqX3vCcjc73
oTQaSHhOeqBP053XEy0caQd8G/UK/FdrRAm1HX/odTMgK+Ry1KoYow6aDFHdY45h4km+i3DHHECM
PAZiAGT7fBk1sG5au8An41gl33UI2D0BhY6au44iRKlNdnQ56DEf530RSHQHaQTKTh84lmiDxZg0
AT+AIFkdAN8wRYD2F5I8hrOC/iOyI4xagbdDvcngPb5ZqyqvbcB0zHQefd2ID5OdyNAQfF37zQoa
SUy1GzNmEVHO965qDMw8V5BixMYy/tBtvBcUtcD8kaLVjqXijH5L5zT0Cg8wLsPoV5+oGnq8xuo8
/tGusl+ChA3qJ6jjQfxB5SJL3JcKABMIa5nXfR9H99CkiiSKcI7yjwnUid5AzfhunL/3/WKRtAVo
uk37uwSULavIjgp6/UYhI+8LTYHeBoobMOCgl5zvK+ThNXXRsJo2rb8qmfet16rkMNICoRriAeHl
veMi0z8Lc4HfBTYZ3VgebFWXCiN8FkCDQ167M46FFmXqHPy5Eca5BeXRYyO6OVfJSWaYXYsLeFkw
iWoxv9CiuunSRtKjE/g9dM/fzbCdPXmLkNZrUW7FzhmYUf9sj6URNI0m1XVnxc6TQ/y2ZadmuAvc
6NQqXlVktWupXhlU+ez05ApKc3eNaUdGZf5QZ32zrhhZ760b5KUHq2137vCHKncffgb3jIC6nm0O
Gogmlkf9qQFfupWdcdmGcjmaOlVDbvRwjtSEJlb1KbMfLzsGfzn/swgduwmKkwr/485VY5Zg5+Tt
HCxOV4KYmgH9rPdzdxy0TL+d2+axbIt1D76neyBZrPhj3MrUcERHAHHMxJAT3JkW309a24T2sYHf
gBpk2DuHbngxEhlo4w378cFrTqxwe1lny2Jq6TAHxdGA0oq20aBoFO/NqA0UKFKFFgbGFDfxA5sw
kUbFNun/HwI5fO/sn/02UJRmtQQHCz4/IpPeJV47gZnRRg5GIbOhVeQavMNt+qIFkJCKhqtuSyWw
GB52wVkFBeLcal4m5azaE77yYXldoOVUhFCCN33rXrlvH9+ahDIs3X/Z739XCjrnuU2H1laLuYYz
+kpj2FK/Q7Vkl6MjWtwqkXlbP1K0Q7cYr9ju6xCN30/A6TQQGf2L+Ape3X82HO3m85+RV+DSJwQb
vnbEOtbFOG+VxvM+aabyh/yrD7vMNWl04q6mt8DDMPkhLPLHCnTIy8dVfFKALWbgGfxwzkI9qQZe
Uh0WU6iRU97byhjm5d9EcYDO/jXCgtJJFG+8CsBYvNgCdYS+9vJFh8TM/7YM7joqm2IitQULSp1F
6qQ+oEXn17T8/hdmmMqzDRQ7EhPOzJjHCSl7xJVEg4xvZ5iBN+bUT4dFkpwIP8uJIe7ey/XZ6nXg
sgPbGHeV6aWgpA6f82GStIHEdmzESgBvIGTEfX7b1rxViWFnSrT7htrBMMdfCVWCv9m3dzOcA5RK
Nqkkh5eR/ti7fZD2JEhnKZiTe4/+c1wQBsGAw1CoD7n/atZ9U684mYMFLSqtC82AhYcfpRkud3Mw
vk7HCZqL3lcIIv7FAvEMRAfaQEWT52zOy+w5hYl9LMgUWiskOrvEL03JK+BNcPvDjfNuhm/fu8ZY
wwAiYHGcsTi61b5D4Rec/Kv2qEFHcr7GPNm7IoG83B9Whf/ZW1aMY7Vq/Mt5ZKfTzFN01DiSURvQ
Y3dukgI98LFIJA9RoUueGOJysUKF+OLaMMpb/E1LBn9QaZhKa36ilFwHBIL1c5k6E5dqZTFJlI4t
J26STZma+9YxAj3GDTJqm8u+wVdV2dahOakDXIy0yMTsq/Pwl2HO8jDocEs2pyi5ag8kcj7FO1yU
G/2zdLiHYP+YYANeTuiEolnCHWmIJxRKMYGVlaJwM4BEzOgIbVaOn7QZLBDJ/cErLL4tDkAIUBOR
aiHn49KPrq66tFPpHPRflsIfHxmjicF20Awie3UDOiYASrJx94KvBzmC30b5c4BxpHU3Jgj3kKhP
oDdV3pgZObgaCZwilQAlRAktjLHMCgmWjWrq+ecDisAtZsVBVFk8zO4K9SRZvnXx7GkhPsG8En9o
tXnaD9ag12GjrSMmmUGvf9mkiYKRoRJvYhvKxQAXs7xAOkVwhuIR501xojuxt6Ki4e2g1Es3wEpd
5Vvr2nwco+qT6/cqJggOIZQL74fet35eNi+zrp9vhuNUateYYKBkGKJGt2Q7bdKduvvD6Q1vXoVA
qoERghwebnluRjOUCVOsFVy03kMOv9KKa2Nw/BGjhi6vR3RaTg1x7lvY6RqXdbkEeLxH+Yhu7Hao
JDbY7fbhi70vhvdWEHsdAM3wxcBAbQJDq5+9sZewCN6GB3wwgjbJG8YbdWAubC7QHEVpGx9m3GR3
9LOxn4L4Hgy/IL8nrQ/RfSXq/Xqf7QjkZHevbBLp5Z0UnUkIjf3+Adwnc2uj9cyWgL5P+lcrMw7O
ACh2E19XiexIsr+KXyvUF1Fwh0Q7OoecE3p0StRSRUBNqrssNnwD7EY7IYD+QJW3rQMjlyExZBa5
oFray9R1FsvHAPi201+Kme8sSN25BcZ6eS+ZPe8u76YglUHQeV8ilzE1NBnUNEPmn89uqOI5p1Pf
XDKMu6ygl/jn+fmZMS7C0dwclaFd58DrsqjtyocybiUJrfSe4NzDnKlXewW+GQSH65fubrnGsEmK
URDFTXNl+uUjZrZXYJxLzp7ofGMABYSFkOCiSs/t45TEGBNYwmyNr6UkN6te+7X6cPljiQ74qRFu
/9Kk9GrIJKFug0lMmQvSg+QDiZ7bqMm/L4MdvpMX1DpADK6EywfJs3JrbZbr+qm/Kq7mg7c1niGo
+jX/fHlJwn1DRwmNeTSEobx7bhBzMqF4sGDf0pIG1fCrG76rMoCYcNvQc/BAHWeQVO4mo8swJF2B
W7wejI2VPo7rH3LI/klOTixwgaJuEDxm1UVtRK2jIdsOphZe3idR1EOtHLBl9J7B0OXWUNqKu+os
8S8tyN0A4FiPj707ha4ug52KvgiEiYAHxK0I8gm3FmeZM70aDNQCFrJTcu+QtPmVHbePlxckagKA
8WGaaFah8/5hMmOWW7mX56CJtQNdo96myOVqJbtCrWsMGpDwg0qvn02MZQ9SSrP7qp9fvaUnko0V
OQcKd5ivggoeiP/sz088Xkd1bWyVAoK3EO7udXSl/mZDkfqzIItXgMa7n0NHb8hUkNUU86hRFFzt
PRll2IK3e5e/q/BqAjyRTfj7AJHqBmr2HdrVuJcnDAcHq1Xxe4w+T57mqyYCwigE7zDF1Oevf9iZ
enN+dFAg6ItahY6nx/kOKmZBSY+2tL94k3E1tbkbEGrpXy/7i+g7nVrh3BLjZtCH0wHd74YiSjMM
r5bhJoQW0AVg9DvGt+LWUZvG2rmMgrfGKOooVf04xMDFXl6GqIzKNBIgho+zDN0ZLoYnJVEpsaFg
S6MKAzD0F7A6Nj/SAlD86Vhj0nh8w9D5l63y5IB/vhF0YAEQQv32QxcZMzXnmjbI2kB8CPVttXce
uqMbDOCVpIFxNe8ZOSg/lvvy2O6Vb2tUQkhbDzEfKrr8S4SbDCQFAjEaVC5PaYO+D5j5HhiI3ZoH
i/praCUJjcgAumzg2UKxDkeOu8Fcq64qr0YSPKDab9V1QNW/uOpPLXAZcNqUJK5znLSq9/xecXZU
0e8qs95c3imeHPP2zU7tcJmMUk1xM7spCB2bGuMZDsMWQ5b21nVW+N6WzQCWtafe5j3wMQQ1JTi/
g4cogB7nJxlT61wzbcBqsrzCX6xH0CwjQm+gzBVkqI6oDuhABRqYY783SMSolxBHC5uGHKz+CoiB
HWQeIjoONzQ1QnfUwWRGBz/+5VY0oNpzYy1Xta355fBYK89zajza42thVWFq3mlAUS/IsvtPawpY
QPy89j8u76fYMd4Xx6XWXm3FqqLmUGyf8GK1sm/NsEgwAUITqAeChA56yIeSiFsrCQTMcLbzVAma
+RvasBLfY9/8wxeCFCekH9BPBhzk/AvhpwNQ4fawYCR9aFvjBpJ0r0rXXMWLcdsY+g/a/aFQ9T9+
eGKTO1EY1+wtNdMVHz2obQP/boPQ86cScB+scKeqyVwopg1YGVRAwwTz0hUqcQBRYuNi22yQvwC4
5UUtCsBJ7GQdloAAadrYP/PpETlp+OdedmqEO7QlMCluwj5QAUySMmRAg0kuQpELnFrgKgleMc2j
07NlmCbUFyDw1Fk+TXvfXh5m19sYtuTJL/LqE4Mul6KrhTa0fQ2DfQx96FW/mzxpm48dPt6vT21w
dy8oNd6gLfjqJrriWYT3vX7vzZRsTbR0Dg1avS/Q1vGuPKNDp9MpMO0d1VDUNJEIFS9rUaePtKC2
TGdAuHQDo8NBwwGkjke9TbmGIlyCAw1EnZ+4d5byN9UM/Eb0xPA8QSOZO9CdQYe40LG5I5vdlPyw
MgysiLf5979wyxMz3BmmSeO0qwq3bCYP1a0vMcTaL1sQXlenK+EOMGkh4pi3kFVkg3yh3Vzmfhr2
eHgbwfIAFeRFWrwTHuiTRXFnbazmZa1nLKrN9tp6NDGeNHFlt7DMCHfcVqUp1ymBkSmYotxDoyd7
GHeFX+61+yXMdut1GqkyrxCe8feV8eq+SJ48LVlgNE1fllVB8+DFWmooENq+ll0Z0+PlbydaI3g/
eJyA02jhEXF+q4w1ZCUrdsK1+jozv7v2buokUUt0kk5MfJgU4xBqv52kPn8yFXTKCpn/CReBgiSb
CwH9DB4p4AEpMFomzmoH/mvW3JKdtsOASvB6QdYyFoyNZ2gBWWYts8oFLrPpVi2x8aV692mYRl+b
n/pMEoDZ4eSDI/KW3yvTzz+PO1edUsRYGUTfvSboMP7b8Y73f+oDUCpEqxmlBcY7tNgHPHkHo/2v
xC6LEMbkYTwkRIm1Ac0dR+tlJ+pjrGeWABvzmAw7RvCeW9LSac5Xl5G+V83dpgSVzqRe0N1eoWtm
tUm7z8gSbzo60t08OWowD3r1YOXEu0XCv9yiOVRsLy+el0xA9gERY0BS38R+wUnhfhPBkF4NIptg
wB2HKO58YIvHOzbOCA07sO5JkD0vSElwQoIqYpqK6dYL11/DTjbU6+O3fnu/gybggIWEwR3nm9O7
qZcA+AGmEy18Mqd3lUEPqlYFi/bp8po/ei4sgaP2JjbM/ufckt3Eqz1m4MTgWle2bdKQrwDagB1n
ApgoOZxCW2yatIHMFX0ILsAsbUbLrgMbrm56v8e31o0pMNdFYkZQU8KaHFDOAZsAHc7l7qBkNfrR
chilCLhFIzRH1Sy3i+ct48HGMCzLb7rE+d6Vajxs2mWqMGa6UZv+3nLaxUtA90osGWZfuHT0lkwg
dxFh+QlOVVXktM8oXvcpRiDnyxXUBPc0aSVAKaHfnJjh7kJvxLEeC/hN5ix+oyhB4TQYhZKFdvnl
st98jOTYYzYNAPgD/Ifv+xqKqqXpDNqfN2bfiFo/VpkUf8Ai2nnEw4hQqM8xYgnw4rweoQr1VOg+
5Sq6f2UbWBu6dcN1q/+obqyg2cq6vIJPdGqNr0F3dHLQ1gW7UFeGPYa75Pm4sUxZh0BQWz9blMkd
bbsjdd4UQIzP9aiN4ejoGSZHAtdThyOZu+s+79qtO4zW7LvVaH6KTRNyHPFsaTUwJsn8EC+rwWhZ
dlsAdd60f57t4ge6CJ+4AYAhMLmIAAF6UnotSGyKlV3PhF5Vq6zBwA4g/2GhzQICPYOwgyl3HnQM
b5yG0W7UQBsfiL1suuk57tKNYz6qaDpddlTBZ4VmFwY4oWYOLhsvqQVeJeuLg71BKudpjrVdbRVf
F2uRQJsE5+HMDHdxlos7KjVG3QZu3YX12vhlOwaXV/IxHcSrHvwqyE/hwAGudb5raUKrFgr/alAT
y/Sdyaa+SlXMd08ISkIluc86o4SoeCNLqniyBrsXcTQA8IY3IH7xGhR660ISHgD9oH7tj8UeKjSW
H1/b0RCVNygcoszs7tNXFb35utt3KGJG9cYLUQDeyFJiwdc8+yUsZJzkJzTJRpos1ho0dRZ4+r5b
QbGUyVDJjHDuSTuoRY2QjwgKVcMQqeu5H6DbLHEYQQv9fFM5j8ncVXOUtmB8XOB0XnI0lL86VwjV
mU9gDjHBn5/rTRpNvuHrh/mXHGUlcFqQbzBWns03wwgy7qirlaMseYdHIHjqddQuXbI321IGx5NZ
YZfWyTcDyz+1RxdEPbpA1nOTVhCD2cRu2j9dPh/i0IqQAuT6G+meu/3UcY4drWP83gx43OUlQ2wk
lX5owNiesjoo0m7bo66wapiR3L0qSurHEHq0ZHOMBNV9fNqTH8InOrpd0yzDebH8MVxDGqD5HLmK
r6zALGtBc9NvSThmkfV4eQeEjvtul7/CtLadgWOCS5neEKk93j2kg1yhLJmRbTR/h9E0NdO1xPpQ
pcAwtGfUA6PkGtJGU+13vrvJouy6lKQ2Ajz2+b3EHf260WgVzw4yjgd3m+1RV25+aj6J8if1Afy/
eedEGC4cVtHY+vqmgKY03TVPspeeIMM6ux252IDhZSDdqCYjd1Wh0UMXy6kgDpAGw/h6+WMKj83J
Pcz+/OTYGHaa5PPCLCnqcgMJuyXKmkTGbRW4DNC4No6/Cy4WQvy5lbmIVWgF2ohCXUfCaRgeYi99
SahMDlR2eXF2ynHp5gxMs8AiS1TY4AjkZe+ntA0MPctRjFWCwXUl50HwsXBjosXGhuxA25VzmWJS
x67KsDhr+twVVjDNMAchYzuTcVOFlt70LiEii+oJ97EwwYfGc4zlEfDkPB2UjPyxMZUtgVjjZbd4
4zVzyRM0C5k8KDARoEJwHug0JcaApzA1HcobQJCgsN74dAsq6jYHEi852GHxjLsYilS/+ieZeJog
dTuzzi20po4LMVQkIYt6P7UaRjF/a5rc72zTH+ovl5cq8k2MrGSjyVk5h2/ipa4HuQ+20tnetdn1
ONzl8Y/LJlgk5jcTnw2kHSAQUIfgsnFXzSp3bFg2bgyYClEUKcl9vIjrFil3sr6SWdMOQ2u7RWCT
GozIQi2yNLj8I0Rn4/RHcG6KqbAdsRuUWeIlrqKBoRu8IbX3iWJ2wTq5+qZdx/xpVFTv4bJlkdue
WuZ8abUyJ25jEH6Btrj21OHGmNsXrTe+kraSQbKYZ3zY6pNIw12KU51lqOe7EKDLuyezrfQ7W1u+
G4P7BSN/u7DpjScMGrzKTW/rNUYbghjc7QpjJgGQrqDkpbpk24WLf/9B/G1pOUrqtR1+UAx8KehM
aRPVw7CrxlGCpxIZQng1AMmGwjSkTc9jrKc1A1h8E1jBBjR43E9Jc11qRkjVT5e/pmiH8ViGAgkw
LA5mYJ7bmYGMroiJrjrmBfhp/c3Uu+gvLKBAzBqPYGLyMBl2UlO3QXXfcddwITf9IuPSifYKLP/f
Fri9cprFU6YFFjTlm+PsFABmHPfLFEuiqCi0gI2LCqcKcgGSovOtAn2i1Wsd3cxkalYNMzGgV1A+
jV2i1mM4uGpXfr28c8J1geOMoI1XFCBV5wbpgrm3Q9vBB3oSjf11uqqQZ3yNy/1lO0IfOLHD3bPK
UlmJSqD/SMv1e+8VX8xu3Vw2IVsKd5BdCFIn1EGNuKK7VKsiJW1wkXeBo8rk5cVf6fem8VDmUm+1
Km2waV3f+tV45+qJrzWS5QgIEyixYrwupoJaqHvzeAdXabupdVBYZ0Q/0FyC+heo5yFDV1RP6fby
5omKk2fWuJBb1yXeYhUcnL0N9GdMBAN5sj6mu+LbH8pvsmf7mSnOyUHv9QDWgi+kzXXr3DmGxKeF
voa5t6ByGSjgm9y9VRguCscFgCLDhFlKNOjRlri8W0IHOLHAbZahLbGzQGgzIMpda82BtjThMEko
F7JlcNsEOl1pDwqMQIgLDm1u1daRPF5kJvioNjQKKU2YUM3HDFmEKTv2wjN5slHsz08eC4Vjr6XV
4lMUCgp3EGLT4F6Oiye35C7jR7//x6kg4ohJZKD7863qMp1ahYw4Le0SNUcIsWkhidLwBwU/JWQi
wUoX9ICx1Xf6DvnhspO9wAQYR+bW77+AW+tixkuKGS/oUd1Or+kd5ngVP5l2WQnB1xHPzy/dFWgi
VdhvZdNehLsMlTIs3tJsdEnPdzlOFDrkLSzHwHVraXWPcI8o3h9jGQhLvM3sgDLMAQavckHWNKa0
aWuEiXTvmNGaRmyb8+vmSr+tf9joQUWm7pu7Ihh87yFDpU22zUKXff8BvAZI268LXo34AW5sNiFd
XCXwFhmI7r8sE2BzjJsD1pJHW0LFgjiQjkLHzXEoZKKUeDnMRLOa0DDx/A1sDJ+cIjOZTUygJGMZ
ZCBFmf40at3iL8aSFEFce+NNPWN2HfrklfEApjhcMMnrpNilSdPvMmKn43WSVkPtZwlqtJJcQugV
yIX+XQPnFVWKwfezixNR21mgV8Buovw7p+uhLCXIMvFVhWKcDVqiCkkiLotQptjEKCtIgfchdiUo
QvQn8gA85G2/VQxfVm0VH7UTe1w2kZlNZg1MQ97ckk8KMCNH6tOguIUqS1C9FjcaK1BeNdtMslBh
3D+xy3l/S6qqNyccNOpkAaYzYmsBTJ0kd7HQxYFvZKgbHGq+NeA24PXqLcDEBl33pZYfaUU3ly8w
4RezMV1SRdbH5ndxKxlW0gLhgcA8HdytEZIDCERWFN9CwGoT38j4cuz782+sE2s8SCvXrdqMPezb
Os0bZfnlWPesBDguqCBXu8tLE30jqPaAF6lDKQhTlM6DIUTbW88oDTADvfbOIopfFM51Y8uQvGyD
PiwJ0cECmRWyZ7zQNnFSk1Yj28AJiIdhNY80xewVt7F2y2RslNx9KnqjD8xykAAuRO4Bxa/flrlL
20za1NDRKULc8yC1OEPh628sWMCVgRbAZnpyx8upMHWaEBeRg6K4H28URQYkEKabeOT8NsH5n+X1
Wrl6DtLNW6BT9lU4fveenG0VVb9kCqPC/Xo3ZXMIQUqppycWvpSzkC2a3deKIhV7l9ngn7haMZep
BaebAu2LtrGO6y4Nk+N6WEI9bB/IRqYLKfTyk0VxwX1eMQ1IJXCCwsy3GIECsWe84Ytk/xeHyTLR
bgUoFXk752upPiQFoTPeo5oZZokb6HBp6BJHl80I48OJGS51agoUweZFxdMtT28xGy1KezTWa+uQ
2EByK1LwOvscHw7viT3uvppcd01XdHiBBhyem025XbfJHdg1USIlhIo9430HubPU1qQacw/et1qf
soH4Y/bj8t4JOIU6BMzfLXBHqS+haGw2b5eht2uf58fiodmZvus7kXtL78CLC13J0+S/2IQcH/jX
gLLYnPvRSbOXbIX7TQG6rgUuXzQI902UPGoBVPKCBXNtpde+KKEBfgZVBAQlhqM5j+zm4KyYZIiv
5ll9DB7ouJ/K5ZCXLhIv5eXyrgo/GwQ0ICEAnVlUR85tNZ2yUNLBIx17b1hPtiMbiC2slzOJjv9Y
4IsI9gDtsLXG28vcjscmXDf56lchkw2gobLNbtRwDNiAk3bzxwNi3h5Lp7a5cFUsPaZ9W6jIDc1z
Md255a2uf7+8gaJmnHFqg3MRjFVY06nD+mJMFPStY/dYYMaqHVIMrfbTq/jq/0EkYqH8w7k+2VPO
Qxa8RJFZw6a+NQ+oHj9bP8iO0b/RB9zS0DhYwKZsHMwYib9XW9nTRBiTT6wznzp57LYQgiryDHlb
S/YzutckaQIKovnljX17zX1YpAeUImBigF3yjLbYRV8sa7BIGqV3TAJFfU7362YN1z1kJzYuYM1Q
er5xnuJb1Qy6bSJFOwgPBxMUAxUHoxl4xAfVIQWB+h0+bZn4efYc08fLaxSe9BMDXNBccrp0bYYC
29pPvqd0oQ7cmI1uJgbVBJdNia4eIHIBW0EjB0r03FEYDI9CPxXFKK3tntpqvbJXgqSNPkE+VvWr
MpaETpGTnNrjjoVVx5CzGkcce60J7fpRXzTfqyTVENH+nRrhzkE3ZS4I7IheoKL53WqFU1wEmFQd
2LbkRSRyBZCyIJqEVi3q+9yXAqkPGumahjwkgRy7a3zWakeSHMhMcKF4it121VJ4W4qjFfeWjxms
l31A/E3+XQQamOcH1yuyQe9cuFvbGsdKo7+qlkR6qv05Vwkvkt+bBQ3/czutoo/LCp5ZoM5GNKbu
QVWJ5HsIwy7AuaCDMFavxVeNnVYbrbLGp7f8Yq/UvrFLfo0YO0T3y74LKsATZaoQwt3TPLz9oQGM
25JLpuoUcqgZI4kQQw8r49aqXh1kjH/xiU6McH5WN9aaAWmOhKP15sCd2gcNEywCm9o/LxsSetuJ
Ic7bLLzs0zkBX3ig3n4qvGORyDqOkg17Kz6d3BMlWWlcuMhjrIf8Zrppt/EejWsXmqtbSJNc5aES
WnsAny4vTGaVc75OK7IOU47YMaoCGi9hM0JKdN1ftiLMDDFymnXGbRQw+GEGutmp2awiIPQbc2sf
1tDZkUMaWjfGFgr6e3dT3lp/8Vw9NcmFVKUz4II6Vjalnb+sj3VchpdXJXSKk0Vx8XTt1bRYDQTt
GYVBXERZ1MfK0/9mg/2GE6+o8x6NUhsXkbmsfg98fV3eX7YgvBVOVsE85MRC4upZW3mAQyWdg0Vc
adSNTAtoTdBOL1sS+hqG+QLAAD9Q+YJ0p6lV3jO6JNPdX7Uf5piGhSG7usVWQNTArY0WNp+GlH3S
DysjBAPbGlRr5rdTBxF82fAumRku9KjAlI2E9eEw2NUvyHe3VCMiLaGKP877Yri4441A6KusSuFe
O7coor5s8ig5eIHzzR38AJlroO7GTOLXEqN8MX1QLGAQB4TuHGIdVaZuaXa36uUht+e/id/IEv7z
rXgMAApB1TKosKRoAABZzxid7Q/Nl8tuJz6m70a4QECsCTOUFBxTPfnSGBhMSSTgWAGNEDc4lMeR
d0OOAyyY8yNE08ozOwfAd7sIO8w+Szdk3LG+x7bcwPEUCN9IjpLwE51Y5NYUe7VTZy7CglfSsAO8
Qet/KUa1GxWZKLLOHJl/WDhgpkBoGsUjlDXPFzcMGt5rDgoJyUuzryOGlB435gEDUVd/emI8I+0w
Xtmh+WBtl7DDnMY4Mg4GiIaYorxrv1/+mMJjd/Jr2MacRCsLsQpK/BkuYm0b21lotd/tVoYZEGb/
J0a43MUsql4hMb7n2EAZWTca6pfZNPlJrP5oMNFdJbPER4XLMhESAW9Gl5LPNW2tm+yaPYtTBWSj
/GU0Rj9xZNB4cRp4YoZz1Mlyyx4NEtwm93gJR3Qbh+PBumlD2/cO5ca5WyWXsIikhnL7+8I4R20r
S1lsZhHDPQ/O7fCy/lherS8MZpxhdHwIIh3UQLNnAEcb33iaozokEImotrITwyLlBzeGko2JXhSE
c/gsu5sw7eDtfbwcRiiHJNdMgVrdSRETIjsgjUHfG28f0IA43+mdUh0GimyeRkoRuIf+FqqWGNcK
6H9/xbpfWpAY4RwBEAxK3iBbpigwnJrnriWtLSdnIig5Ny3Zgt78OqbKpnA7iqkYq3/5LIoC66kt
7nIaV2Md8hn9G2eFQFk5BsP687IF8WosTOqBLspHDh5UsKoJmhsI3UT3K+enU9xX0LlxFSKJp+Kl
gPH2NunjA0GsJpNJSIb3UVzEvmV+abT95ZUIM2AGQ/jXAvsFp4GrS2ynZPCTKUgfMXwHzkF2xYYN
Y8+edWe3HAvIoMtw6KK4cmqVC95x5ZTTNOJRYWcGG0ZRHHsK0mBMZfOCxW7/vjw+Lrt1os81bglz
yxSclMjY0r0uPV5ih3g3w50ut2s1DUPY4HJdBMxgVXi+ObX+4sqer6Ir4HTj+HMETZ6xNr0KpKX1
p8kIirlpvWYFRhJ77Rp6Tef+jy7InaY4yyxnYTUTh8QByZGnuJIqgGRNfG25Lu1GG1I4ubF6eqA0
CmTf1mNle/seE7EwS0z/i6oWKJEG9AXZJ3u7HE58vjLtdSwmxEKob/5M83K/pMU+KWViXkKn0DC4
0kT1H9Q57mhNpJuh/QynUHCHtLa3w5jzzWIgo6RSQqQoG0IB5bct7kB1imKXq8Ns7extsiNX03N+
xXR98+t4B6LXS/FpOdq7NDJlDw5hiALLEe09Vi7ipWDaFAT0rkIJxa5IesB4BWN+REFUqtUiTBLA
n/ttiHP9RU1jJCM4yjRiczn1aN15wbSxf6Sf2BTuJJR9P2GQOjHIeX7qDm26KCjjLWoVQugmnLzv
lWxaitAIFIH1t1mcH+ZxEUcfzMRGJHQn83uekV3tDiSYDZkGsfAzQYsN6oAYEo/ZiudxnlJFrTCA
DouZVz/PVb9YtpevEqEFkNJBz0YHFkCecwvKZCXr7GF2cKmDvagY3rVj1xIbwt0CYM6GXrwKhUHO
zccJAPg+x8lVsuPUIUdzR98rP11eiNDT0K6AcBfKhGD1cZdGUmRQXwGICuM5GDlTj4pw/LyiIpR8
ZVNB2FNDYlG0rlOL3Nep6mRc5gSaCMbtPGwxmCvS0JIHze1Aju6t+wWCoVsZ0kCIajg1yh2orC/7
rJ8SENC0OAn11V58U1vSsK6NHTViLUIB/aDUDaayee6+XuZfld79RSjGuCM8ThG79A9gwGJtHLWi
KGDGthKT27bX49wnOcG3XWgxeZvLGy3YZ9AaQYdhQ5BA1eT8x1w9O8XYv8pfB3ZDNwD1DH7/F68m
WAGDCWwFrIp/NdUWksNyxUyu1SjNSKvAvHcghTk3fRldXo+IJAmpV8AoLYCIcLq5GKUMua7hC0Gr
4Khhvu5rFbZBHMab5YsW1OF6yO/6LdJ5SYYt3EaIjWInTWgD8oPb3UVrlnqFVcvMNqTZEL0B8fXn
5bXJjHDfystim+YxdrEihuvbSXzTTMVjUSaSPRRc09hCzM4FRNQDeYQ7ez1QojXg8RDvqKF+n2QH
gNhu3TbbWPogyXRkprgTp9de2qYa3I+4N2zuoUruRqCVqCVTYpUZ4tzCaruhmRKIM7ddHlX/R9p1
NcltK91fxCoSzK9MEzevViu9sKS1xEyCOfz672DlzzuDoQeWbvna90FV6mmw0eh4jjaD3nMJCmtb
x7Z3/SuteH1NBtYNACYA0of/nnt9OW8iXW6UxU26xu07tAczwdg3O38uQz6TwKXqGZXsvmhhB3TA
kVF08UcnSef2Nidq+yb1i77JTFVUAlw9wRO91HO9wH9KCvQgMFM79PvFRHlT1vxGee0U0cu8Kgmb
lUBtxl0CI++5pBzFeUUugGoyKEfd+pLGh0R/tCbRyuPqh8JqBtZDAWsI/HxOTJ/qi2S/0yo/VeOz
KkJNWXs1gcH6j4ALWKpoSXCLsPDfBdaDPjioNwL61c1/9p7q6i9kC/RQ0RDDStgLchNAKjBvy7ZT
z5Wqx8FaVMB4uzGR3CXcjNIm1B5C+cVKZJfGP67bOvsSF5bIsFZRQTHARs9JK2zbivUR13cemqDT
rCAEvJOhmwLvuvqlTsRwXmJAVgdSE/ZI2STxjTm3dnVIys11ZURSOHuosRCSzCNgmowsduQB8fsf
TCVhEA/kAijR4gbzO7YTqVQtU7USEwN672Ci/Msoa4LZgdVPciKDaXmSyrV6XfbljM6xlOmbZTGQ
c2f4T5OKqCdXj+tEEHdLO4bVqVMoU88RBSVeTbblSMrd9Y+yZs9AtQbkrgEGdGSo5+rY/dIamLRH
SFaAXD2vEaQU8eK0UXuv9PqDVdjg3jMlgSmsHeKpVM7g7Laa5BKUxy7AsRxZ+rFUcEGiIu/aAbIy
J6IuAJSDV+pctbDQ4zRJKNxDRt2hxNyxaH1cJIGzBTInIc0LoClR6VumHGZT1E9hLw1//09V4G2g
GeylnSGgPHZH1Vu2dKvsUTd1KRtVEOQEIm3Ys3Fi2VKh6C06HyBvmpIDWpf3XVcIvvu6tX18Es7a
JCsfhgW0aG5ZTdu88UuSOOFwlLTQLY3nOJn869bN/r6L8wPiFbDqVCSJPOKFPdR1pTYdXrqFbDtt
yD15qb7amXHIkhKzg3b0B94B5Cr/CORCh5YsWgrUMIT5xqi6WhTeVT2WrYypeb6u2dp8JJgXAJKA
YBzBJN8xnMZGLxNrgHVjp8R0usHF01C5eAW31h2QfBCKAwg8mDvH9uydqLq+tiChA9eIoWZYCGZ5
QkkDaDDhpALkK3vR9mawbDM33JobBiEknsdcCVggDEvYBAELsMG5m1xNGqFWDwQ6ewIGvo7+iZwf
mjD3pliE979iMWeiuCsNkPpxpBkslKIubWK8rqksp1KfUlM6lNkfoFxBmgXvixAJ8yCcuYAeU1qM
BsgvbfGD9tuKxA6hAg+/4mvPZHCHl8qyGbc5fK2FaUQ9wtZRXezSRkDItuI8zqRw59YWUoS6HD5R
rau7tF+cRtIF/mndCj4Oi3OGVm+qTVODexzsdqmbmUMAXibdsTHV36ehKOMUSeO8oZonWaaZSNKq
+auigy5Ikx2i3DadJQi+1i3uQy3OJw4LAgo06pBQz93XwX6wUf4g8Z7Q2ptq0e7UqlYa5kEQ9mNz
mm/Q9yAwjvUeMTn4yAPSfAN03kZfvlpy5wn808rThb0fXFiGRwfCJy7am3u9LbUOODjdq/ra7ZSt
7asP2ts7kGsgKmetWt+HMH5kzAJAbQReFezQVsnPUqqdrBLN3K48Xaf68GPFFR0TQlKIANS1h2D/
OCifJ0k9ZkbuWEvqG38AZ4b8AoSAGBRTdNRazp/jPAVd7yDXAIlZ5NQxwiJ9JYOsH2Jb6wUJ7+rx
WaiKmQDfxD4k5yKkKQ31UYIJThMA/qfPhiEIZEQC2J+fhBbGqOcgyQZDt5LobgekFEeqTRGINTsQ
7rFnSe0/WnD+QTFBfENbIE1pm+n40XkTVTFFunCOYYrbsWrZyycl1E3hFUzRVtH7ZNaFJlgnslQE
5Ug0ue8R6yUByRbg8qYAWbn2iN3DO+luek0mTwGHcrGRn3rP3IOwNAgDjHs6GDB5LQrEhZlXCqmM
1zq2bNuSlfss2CKPtoM0m2S5nTLIu/Q51tzi0XDpXfzU7XsPc5Klp/xRsRg+ClVTMLViEhiHwdv/
NM8YSZ7xZt01mNzP9pgkGny2ny76opcKnovi57ymBk8wsSBqdGW3N5wwfsjfAAbl1h4jaQIUrWMr
WzGfynuj8exDc4K5WtaS0jSjICJ35n20LYNhq2yw24KKv0jFC6NlgoAaYaBfh1Fkg7sbZNBMPbTL
2CmS+rFWHW1oBAMulxEhRIBsErDESCWxGckZrWKG3WBNVewMweyHyY1UuNle8hufBF3y+h++Gjsc
/vBOBXJORZuM3DBlCGSY9bnq9ZthO7iTn1a+GEPgsneB9g+iXYZSyPhZ+UYQQNZbWo/mq7bJHtWt
sQNoXQAKz614feTCj3GSOAdj6FVfy735WmATvmyiG7UlDmmeVcDwp8oM1hbimYkqiEIu78C5VJ7b
J7aBUmd0oM5s/dGfExfIYErrFkgo2CVvqQNPN8dO4onSzov4hxPMqVtpmBcsGgjuRhnoaGkSY8Kb
Dsb9QArpro0b+4aW0hD8bnzCxGomcic2iXLBZSRH4Ihv5gxikT+Fe0xhBckmP+h7uo+C6rNA2oWt
ctI4JU0Eqih3QFp8XAI9ULbWc7ZTXZYs/X5qxsniAspwbGtaT5DFSA8i60CDaZsc5yALN9FrAvDz
67qxn352DZk4OGogJBnw1jw7eJklwIUyzde5hlbS7SCbfjjGnmWIJlEufBgniLvvNBmUemjtV/CL
OFX/3KDq9r9pwjnJrkNOLUfWawL0AsMEndFPhd6b6V//mxTOFHS9nsp0MV9LIEOPGYafOsnrSOqC
Aui6IPZz//XDYGCVE2T3oCONMOfo1MqDbXROn+UewLGvC7n69SGEM7Zmqk2jUCBksUfwGvWeZt/1
puKGPRF8ncvO4+n3hyiuaLi08IsWgagp6F8AE4/Ne0xOajvw0nvDrWm52Re0SgC5gvlUwf0VHSUX
i0zprEjjANG58nnBtESVPenj7vpJrntgtInRl1HxUKvcA6pjHq1qYqCm4doS4Fn1GpoZKPc7oaOC
0i17Cn2hr1h9a05kcndKwpprPmXWa3rU9rGbB60z7JRA8dpNsQEsjx8f6l3/vNyAndu9ru7qbf6Q
rHGGU1lqOHUqjnQEL1WGsbJlfLgu4TIiYQZzIoIzmDEac2WQmQicKEMIW74b97XXH6tgPhDRWBIv
DpRhWO9C9oHnhJGA29x9i/O0lsY8fM2PI2B/crarfGt/RfSDfrjoQWGnc3K3L2TxpxfqZVzJ4SuN
gV065JupeRwpWMebYBThbPFttgtZ3DFiyV2pqyJ8lfftbfWQ+GPn0Z+jF2KPfdwCbG3Tz971L8c5
lQuJ3HWT+7wzBxK+GskO4CRNeDMZX2QEH9elcJeak4JVfZzxSVIa9YnahiXOMMIoY4g+78G2BIk1
d70uRHDxfduGkT3o4Wu6Q4QBkkZ1E2/FkfCaImgcqyqbgZLBT3muiB33E60m6VVi08f2Sw8Ie0ME
UimSwRk3NnJV1Kmk1wK4rma3yymq50ot8AnrQlDlZQA1JmCNzxUBNvPSjHL0ZQFt3RCokx0+jpkt
lfvBnIvfq9SDgA+tY9RXwJaIvipClHNZkWxYY4/FVvBsjLeZVGduFi3zZhhMUWNfJfirzi4r6m1E
QWMSCJnwETL3fZJRVasalTdkecaG7jRX3TLQM/zrl0F5XwbZg31b7ZetdVQfLLj75mEOVBdR/6H8
RG4jL5Gwpy5KCbnDZgARGOIBi6+NFTSUBLlLpmS2KlGFxN5M0x3Q+gJVkZy5D37rkvFS+MqcUpZ1
mCsGkNxNeszS+rFvul2YlC/XxXCvyYUY7msW2CSJ+wxilnr6VgIsxSdSJ6rIrQpBxolmEhbiAfF2
bjLYDRzSieixp4KrLi66o23k/h/ogWlJBQBNaPzx0NcyzRE4NRQLoSFo3EfPLN6uC+D5C36d1IkE
7o7pqU0NuQO0voapXRANv5RB5TbGHla46RxN842AblBfT/F87aZNd2M9iqq1q5Z38hPYOZ84XtTO
bFgCdh4HvXP7XHaokjt6Kf/eK/KuKdtxYVRCIODiYZpsMG3YhhYlHsaIDnHZbI0IGBd2s7OV31wU
/FuUitE7THVh+40zP+SXZZnUYeyhV5c4C9qZLaH7YUhewKdSC2xk7fjgsABHy0jfQCZ3fnxhZo9D
SOLEkxX6CCgqDKWqAOHrFtHrxePI/VILiR0q+Bh2wQzjuaRaGyNgUEEt46v0hD23x/oh2du3SwRi
wOQZmna3+V7y2oPoteFjqQvJXMxRpGk0YwAv9mjl2G8sYR62tZczJmwQwQkRO/jFxV/ydIZkgxwW
02WcppQw6spWgrxXsDkeVczCvi0P2IxygeckFrfmScwTcZx6fdMbiD0gLgJVr3RPdZ/4wIkEibMa
3SjZtt0xsaLZJabEyTt0oSTn8RM6JbFOIbWcDbcAPbBqLUed3pMycZpaMGfLN6j/loZmggFmNpgq
d8vNZFERxuH6ja61Me8mYPRmmG1ePEy2+UAac/QYiRtxZAwnClVdvSMoeGJ0CpjaFyVrs67Mpbeg
qoxF2nkuHKu5k63x9+IVpiIGS0C/ZqHvAL43zpeS2kgsEteRZ5cok5WTG8aPYEsR+LEVYzmTwh3k
OEm50Q2QMqgq6KceZVsQpYoEsMM88ceZCmx8UrSRV44bUBR4XSuiDVz5HGcqcNFjNQ/qDM6ryAN7
FjiADFeKY1QYRUXMdTGYogdXHRiqeDccUm2eSkOtnSVWrQ2d6JclDr9Huab711/RVUFgbEGdGxEU
OAjOTyy0W5X0JXhSaXjTdfqmSXdL222vC2GHwl1XRl4LFnTGhYHm47kQFbCQNniAaqePLYASWIVr
p92nuet2daQKLHnVBE5kcR9oHhT0N/UuYmGaW5THyBaNOqxqY6OqwcbhEXlzd6XO7BJRh147ZkGB
PfkcDeWzHAG7PyTe9XNbcXPgQkV9CBzbGPviKwuDUk1TZBmR16mSlmzIOJnS5CUW8FdsZ4wauWjc
pB0bZfKkoVM1wVGuvV0mOlMWaIFNDFfw2GiYABo6a04TL8mBFU6fCz/1yH36rXhWEcb/Jrjxuw86
kcbvsjV1q2fTAjeLzo8z1rNTgiUFwZdvkUVgkGtGciqKCzyarp3awUDgYWCjp9XeBjW4/uXWrtWp
AJZInTgixSzKONNxcm33LQNPXjcBHVISrq6J9OBMcZ5Hs+1bFkBtBq95RtZTO9En8Ha5+r76kvrj
Z8u/rpjIJt5rLCeaWUZeGiCuQPVddQ3yzLjXCnQbpOqv0au82Bc99XzR5pdZsAEPzKIhxeWLidVQ
o+VeZInXeeZbeZR99urGras9a04JIqs+9P4gofw1U/K3SHbsJzoWoZHUhZUnXj2WmZPX2RtYYHQH
4b4I7Wjthr9Pr/wtifOMkQqodzWBpKI2PH1QWqc38t7BI6M6JrF6rywFl3rVMk+Ok/OP1TjRvOkh
MZTnLcUAdihTH9M0gpLUWsT9vgaG4gRQqtCvPT9DU4u6VKvBJAOSM3mvBIUPYhvzewaKV29ySdDs
mwcZ8OH6DnGNwEZXThWLvmxaFoQgSDC4U51SfUotu0487QEczIM73NlPGC0MciSI3WFwS2COgqQt
csQVrPfaPffWncnm9J6zul4kCbKlQ+fpb+EG5dqNtSOVq3+Ovczt/P44d34WZJIrstsVd3Amm53L
id1qJCsVFUQini3l6PM/YrxDYD3s11/Tjgv3wYeQ5r08JkA5mHxZpm629F4HtHQsFwaCr7hiqWfa
cEF+qraARFFxkoDaDVipqf0BbAswTOHxAQxJ5c3bSvAurGVPpzJ5/OoUnX8pYjJZTQFqpUCyHCKn
wnCv07l55syKuHUh+Gw8u6WizbEVKxCaoqW6eKByu5m26HKBAaTfpU7miXg51r8iEB01VAwZH/K5
nVRTVlYmNXCySbxZ8tFZzKdmjHxNRCG3/gk/BHHvUz3ncRGD/NRbhtoxxsLVUsshpmhlSySG89fh
PNpV3w6oj0S9F0Nc1Zl3ua5vrlvk+nf60IZzK10z1u3wTo5VAh85Aej/8ptj5eyxg/19iOC8h9SP
ZhhFWuJVStLcS5GpYQAwbAGGN8uHJcryN6DW6LfJsEzfrisnOkPOd1hxbXZ5A5uY1MRRta95dGMZ
IkA81oi4dB8f6nHuIx+xoN0zw7Ny9WYpxge9ab8BKXOnRuiBTwp5kBdMmxMSxiBkmD5fV/G9RHtN
POdRzL4iWVbKsPsH40bKA8z3IH52JMDxZl8ld3Dnbg90vjkwEqfw0n25EcEn8MM3/Afmg1y1K5pE
qkCIPe+r2/c5nz29Td+BY4QtUXaNr6jLJ5F2q6Fg3/aJZz6RfbKtN5IbBuSVuc//UAkSOJX3wPHk
8emzklLZxuMDNJTYBxbvBmmeDxqAHKvZgJGaNlj1cOObXLSCsxaSnl4afl4rTOS+q0tYFRv4MUBK
UYw78qUPsDXgpTSYRQ1fvn9/8RE5fyNHo67pYwuHvatj13zOd0DrSjz9MyDPctPBNpU/PmHhsgj+
7IX/5wLx6bq01FY8dvikZas7WvWwxII127Wq+tlhch6oNSdM2Ne4I9kL3dW3QHkKen8izjCwhjrG
xRofi9G3FSrEFmg/WA1TBHnPXM01u+VcEdD3mkmRoORsyLsmjjYoSG8o/SknXyR1+qOI5uNEOZfU
LVPdUHRQPdJ3m9qWvdrGEEGV+XaTb677H8H7wfep5hFDvxqGLjw71NwyBKPYvLsugf3YKyfH96gi
QA6HoJlJvEaaXmc1vm/70bPN5E6rej8rVS9VRct9gneDnya3syGvx25BBqPheQ9tr1UAiSX9dV0x
gXPhcSYLTW4lK4LbBDN5B7JxLdJttwhDw3Ar0KIXO8CoxKJCj+B78YWevix7felxFYhxUCZwNS8/
rmslMHS+sFxZoPiQMziufhme9MXalkoUmBiKH0y6myQR8OhaKn16t/k6XE5J1xF2sd7rOX2J4Y40
KNhkTnk3eqpfbqRn0cCRSEfOn0imZtcReLe9PBuOcWG7yTj70wRHHe6VUlgREYljf37yCsVsQShj
oWBSePkzyMEc5TsD2h89I7AfTJ9BwpNtvvlNwBv+SXiHXDyRq5HBzhOW7pY6+gMTdtik+1wEeCMy
SC5+qRIKOKRlSjxVJZKPUbv01qxU4fMmiBv4IfJOrmqzACEHKi7NcXwxD9OBDW+pP8c7xBLe9Tvw
LwnzPw6YX/8zAJKYyTlOLu7d6idihaDfaN/UreTSrflpDKxX+YiqMYuRRHmQKHJ4n3c4+WpooiVh
N70/5OG+KkDmbYG2AEN42Pr6D9gfgu/Hl7JsxJ+2zu6fjBJ4au5NEEtdP02eM4C3Qx5eJIon22ha
nKbyZGySbR9hYMzwS5AHYBQOmIXdIarczG1fQdBcOE3zHgsmnaACs/ooACkR6NBse51/h/ohnGvb
iNB4L2rFOLRNrbZePJfleOwiMoSCvGI9sD+Rx9Vz6ympSdbBYnUFuYtPdzTA3K4H2qR28NvyfbNE
PrKVEjSerE9FAP8g0nn14578Bi6pLrEtm4YlwkDNHHH1LQeJ6Nv1rysSwaXTxhzaRknwIJkKyKD6
2xqUAv+bBPYLTi6EDsy/FDzUqVdH6V1I5Ocy1AUxyvqlOzkoZjwnMrCVX6RYXEaO+1N2WZ7QbQm2
gNpdATx00Uy36Mi450dTFqwlZfgqpO2cEBB8oMf7/SMDcyu67SqoOuDHztWRQoW94gNsD5gdReU3
tjCRW7tOJyJsbr6v74g9NAlEDIFcHRbs8CBFB906HtOd3GPh3NF/SgaqmaKWzGrEAHAftO3gmdDt
4i7WsjSDVf1K6n4NnuZ3FRvmxfu2yX0AyyRPIvtYVRakVopBgEdzMc1F9H5q9RYlxgXTjLP+WUWd
1oTTuv7VVit9KtslAoYhBPEd78VsrWFiYtJj9U1PQGwUwfkrD+Fdu7O28jb0rwtcC0xO5XE3qx+1
mGqZnXhgNHSBq+lYxTGcfhRSQCfRfvFqgoplbOAOY4NfJ/wQyJDRdOxkBOUN6IaMF+Ba3Sc+C/SS
neKqbuqT7/a9yEzXrtqpUC6Toh0ttKmGlUr0WdZCMImJcDBWTeNELe6q6ctkqa0JzwFOXjftDKeu
H9Da/gMfiM0vzHmAE0+96O/GypKZpcL0yLAEgK2oJgqu28JqcwTdY/2dyBWbO9xRLYqR1mk3VCgz
q8H8I9kTt/QqrOnJd9IDG0emN+lG7hxR927tE53K5Q4watMa2zswemUaP2t67cdKL1o3X8tBT2Tw
Fa606pax1wgC/tFMnDmfM8wvtMt2Astx0LdW6zRG+tdSzpnghq0+LCzcwP9AUKLxtGEJHbWwyi1W
gRr99pEtzmqIWxefeOTQb69/wzVb1ABxCHHAhbJ5NTsza1RptlIvST4jW8vUt/o3d43fY7lTEZzz
7ZZWq6fQKr18NpwJyxp68SfVj1MRXNASx71kdBpu1BKO20LLdacd1YciaW/CSo/+4GKdCuPCF8lI
l8iO7BJJPAiXpkejer3+Tf7FAj4+Cudk5amSwIfE1pGw/oqanFO7xUb35UAFD7SIGFRkAezPT+IY
bOP1o1XA0HV6k4+3SbcZ6sfrCq3f1w99uOjFTOdkCSn0MbMidiRD21Y0+YPC/+lX4TJmotFhLmQN
tya3HxbSbvRSyjCxqz5d10V0XJzPS+epj9UExyUBxndKIvDgPMaZ8F0XieFcXGPPNdBNEnQk3Zw4
o696+jbybf/NeOt3IwgMxPPn/+LO//lMfLpTL7TNKjOtkDDXL7OvHxUn9sK/tDt1n4PeT9vaO9Or
fZEBCqyDL71h6z5spAiq6hV4Bcyqw85p9fP6V1v35h+qcQ6CJgpaTSpeKlmvHEQVThw9RuV+1qpA
KQdPjjXB2yj4fnzRTZdGBGWsmG+bAE81n+fsUynap1qVwYZJGG0NltQ4x4rhWWxca/heetq1D2qa
SJ5sdsaWDjQRuKTVb2SzFwLBHyqRnCibdOoyLrhd4BH3ukZxEz0WZL+r2pyI4D6RRAoFiQ1EUBOT
HMrs2+MbLatP1w1h3chPxHDem/ZEysFGBj8R+tMrlj982Lin0A1orTwMAm20QNvOimuOjqgiJdKQ
c+taN+tpbkF03jxMmY4p+2dSVp5AQeZM+eI5Q9P9f6vgzlGTezqmKqRYJdl3WTJvysFI3MWWyaGo
ZTBZN2rhYAv7pZntz5lRbbupftL0GJWqnoDnzcqXBztjjFgWNQXXYtWOTn4cd/ptXTRWlfSVJ5lb
K32zRCyea+nJqfLcEXdhpEVaBu+sFU9ZSHw6b0PrTUu+NK0IJkh0zuxrn76bcZe1oPFC/j/PhxTb
GhXYUOc7YxYhFot0Yj/kRJBRqlXZ1AjRGuXnUKUuYBRdpdynhGBFrhWYDxGpxb2jEVwK7Up8odbP
FlQx7SDaYvoe1BaYzIvdBAgSA5hCpA2oIDHZobv5vvSnm+pO8kR4oqv3BThMQDUDcSeQlM8Vpygy
gsAeHoE00U6LrL2SKakTTqFgL3vVKD/kaFxdIo3KeJgt5LRtvKB3YCymh/Z9+T9K4VyoIuUYIKbQ
Rs/Dg2GHvhH/Jl/jr0j7w7fxkBiagYgBZRDUoA3dAzjzpzg0RKN+7xnBhX85EcKZI+bhjKwbQ4S/
ct04igFEdFNz6dwfl6XzqpZubd1+a9Xi+9CJ5rbYF78mmzPOsMU0BW2S1AMnYX0DjDHLsTS98MEx
Ox31KQ9v2rGYjuiBRjvAEwDWSOBcmfO89gO46C+sYq2VB5hKVIMkpcZsABAkQH23A5k5SFJEHIir
lnly1twNUGWajb3dp15PM6efC2CfiajvViOjDxF8US6UtNbWMpilZCWOqT4q8WGMX4zactX6WOsi
OhtOHAo52AJAqUDHYiy2wVXOa6Z6nZcjJYq7yCqA/KJBxnA0SN1uElQOg17SaFCZMxAEaNN+v/7x
OHfyLhoowRZoRgkgYyzu7Zlp29d6NJZOZWSY912GJQDK0UtjSf51QdxX+yUIZVQZoDT4h0/gpSyh
PegRS6clQLVHncLpjFKgDHcT/pZhYCXDYruPPEysoYGRoizAOCR1cn0ouxzzma2Ue1JL1aAZeupR
UJx+ieecPGR2CvqR6zpyj9KFfO4iSD0BkEXXlg4mnZUfGAXDWpitqz/t1E6+RUsVBpoSzp+vC+Xr
uL+kYu8N8GvYwLBNdvInT2E3oTGRFqripjttL6HYaR4iFAQZ8XiHDCXfiyrH3Gv4t0AD24qmjtiX
x4NcSG7r5dCDPy9q5g2tSezXiVXeSGHf3+lmawtMhx+suhDIGalVtdqQqU3pkD6zHDXsflbYBrpp
SFk7nWnLf4WjVf8MZUR0ZaTI27StIje3NBG2y9o9xZ6LaoFmGns1PHLzEkoMdAmKj0ZmbbvWAL1Q
Z5vVJ72BwDmUq3tlQg1dTaJRkAismja2k4AbirlnTF+ff2S7adO270cgbuRjeQAiyxiEoA7zu6my
PL1XjGCqY8yVR/HwWOQduRcY2appWwoKYropgyiNe6jjiGZVX8bExfPW+/GX8QVD3350U70OPtAS
ATLVHiP8v8jW1uTCKYJQAVj6JlbTz/Ue5lovQzWvHM1M9M8ZFqdLF6jfRebSpLUbJw6z7NGW5yra
XNd47cCx3AxtdTQsLpCXagzzlBZooN2oe1z0bU6f0norp9hekTfKtC0ywXDWmiNmyAi2BgBg+GJO
USMz+5zGAJpWSFGiJd8sGA3Ni8Z87YqJiDzV6pUCUTpeHOwdythEOz9XKSTt1IyF6sqYHtS/vz/Z
t0aQefa9aApgzfPjrgDGQMX3g884FwXOI60rCxX0jP0IdNLa+KmHVHQ1+Z7Pu4+AZWIzFpxSOhhr
z6WoDS3UsM8AqX9X7qx9sY0ewBeEOSKHYMo6EgJYrThBguzQxEtDFNN498onXndZSFT1ea66JgAm
qLGvBskrlQNNBHa4cnrAPsCiPbANZYYZf67XQsphigcKFK60cdJqT6JP1w2dR/RhJ4e/GyV1cH8z
GEfu1UqHmWRYScQSsdf7BIhxm9STfBMcUuAFdVU/90chMdyKVoxdGhcLSH/Mq51rRWMjn6wYfG1D
l/rmPD9UifXXdb1WLhRKM+CPwhOLFRX+QqWV1Ua0hwg6TfshzY51WH9Bi0ngmFeeX7Qk0JGwmW9m
WNPnquQmhrnAaqOAq33wALNKAZCI+3unuEBRcVDr2olKJny5Bl8MIoENgtamDCodi8s2SJnj5bVb
4FfdZLeyD08M2Mn8oGzqHVvTCgHKgWDcE92xyxNluC0KEGxlgJHgkp1r2veqEuuxBcV6t83+kuf7
0BLtFl1eK3g/PKJAf2Qr0by/19Qc7niQSidrytL2Qg0AtnpayrEDXBd5CADcFhrudUvhbwA7SYJI
2obzlU3W7D9XrIxjW1LieHSMm/ol2o43veGmT1PhsBgqcqcf5o/5uymwT+4K/BIKDC1gMeASIEo5
FypLi5R3fTQ6ZintxrD6ObbmD4Fi7IefZGa/ZACfFakMmvw2j+migvJ8jtoCUGPfpLcoem+EN2xJ
CslZO/yHcjlnIhcCOcvU8qgqtQECpRZcXfbXuOq27fLboDj4XFAG3W9QjcJvnZ9c3qeZVceoV9dt
0GJ3z6ifYbWCWH5VE9gDfC4BKRY/eG5grqmUKWxCbzq3yqutGlmxSzrgtl3/SKt2cCKI/fnJQ2KY
C1GoCkGWUvnpWNwbNHq6LoJ/HH99lhMZ/M0NS6oaA2S0GN4vvWhvPlpHA8sQ/S7e67tGNF3L3eIL
eZwZpPFM7cZm8rrcId20q6d9bgOds7UF7ndNEtI98N4hhwVzJXd1uymTUD2dRodIAIXOtS1ghIJM
UYAhKGpxrolC4oo9ehMgClh3P/9QRO3bSZcWeInspwwudwAERIrhJ7aIeYv37+/Hh4VYNBYYWj2w
jM8laQaI75pMB6z/a/GSD8CjdtrWAayJb3jjW914PeBbXuwXsDsG1e/BLPySjfDT1DWQVoKP4ly2
MdIyL1ptdFQ6HIFVfdQlaScwR5Ys8G4JeMn/yOBOMg8bEBFnkNF4DHADLJL7aKNvrCB+EAWfa9f4
VBR3lIWmgW8nVUeHgihBtV21fUmWN4E+7Eyu6MNTPJWWbtCphpDRJfvB2iqhQzu33sRgCy6O6bfZ
S7cGZuFuuxvRqAIfyPPfi5/iiiKj6HJ2lirystkHSuFeu9c3RtBgzESgJ5f/Xsgi57axKFKLdImM
jvYASmTl1UC5QfVqQMYZXreXHvLH7Dl/zDFr/ptV7wvJ3DW3ZkzhYRhvxHQcdTKggWV3oH+5rp7A
VHTOEScKuHYlC9qNY7I1pnabSvTRkETlS36Q4UIXzhnjQVt6ZYIu5REX2wYrSYJYW2oc0LUiahNt
3Ky9Lyc3QOd88dDoIHNMIS4CwIzZ5k7SCQ5OJIF3GXWGtc8S5r9gBlNKZrdqREX8Nd9rqvC7wIQA
Xg5P5GLNYznHLdy80QJmHi/yaM2OGt0N2ffrRrCmC1yfaQIiE6BAfHslbZc6Sc0RH2fADHXRtyno
y033uhB+hu/dBJAzGoC0QwiDetL5RaqyBFNTNkIJbQOgr0A/9DVaSdQH5ZDDtunmAzgKxaDL/ALY
hVzO8TYFxhRl6V1ucasC+hwqAtFv2JpAQAds1bG8BUj/dtxmXn9vHMQbAWt37FRxzh0bIAC15QE/
QK2GhyKNHAklrcoo/8AikaCALoylRwCWOD/fGHa0VAXENFR+DlX9Oco7X/AN2d/BO32AtmHGVEU1
EKwD5zKGvqAKKjOjk+VO9o2h1Bm7ZBfPAOhAt/yAkSuBUnym+ffX+5DI3WSCnLlSCkjU78JN8dg/
1m7sYQ0zaLDAgTR93opez1VfdaokZ6i1VQBmsIRI+CoA7oLXI8hc1MC8FgSqolqfUEHOPOem6TBF
BGnSNnyIv9CAPaG2H39f0FxdWifeF58FX3HtSTtVkDPIYRp60tN3kUtA3OwwYNB7ctO7snRCL8Eo
tP5CkTh1Lq7jDQYcr8t/z1X+3YouOHE1paCDNkL+EOTPyVPoUi+61fbTcToy8BXqM5TvHaBS31pv
2loIKCpcUka+EAWw79QvXe3x+m8SfHQic7VeKTEXWavxm35N2rWu3jkMCtTeEA/0i6JNnXWf8P9m
jS7U+UXSzSoBQzYTl+wW0Dznowo4FhGOALPUawfNuYSe2GEuqZBid3W2KYY5QTUt3huAZPGKXvUy
jfwlOEeWh14Tyd6ak8wO6wTdWAwQCUzib4VfbYxjtRseJPGe1eqr9Y8vAp3RuaQ5LNuxlCGJbMKb
cNPtekzIRr7pZ7vuG9pc2e9C13G+CFi45xKtUQ5DjfmiGq01WYpvC2JhHOE3q+IXYjj/EwPAwsJa
DDyC9nMhGabUYrc2vgo+1HVXjnbouTLoZZEF+SNLj2d//IomZegxjA4SWIdmcsTkGasJ+YfbITz6
VtZ3WY2bMDrTK9kzVvPmsGyw5YE+SuqLN2VWw6d3Zhz0UVD054y/yqlcUvYextojRYf5/0j7suW4
cWXbL2IE5+GVU82aJct6Ych2i/M8gOTX3wX5nDYLxVNo+UbsftmO0CoQiUQic+VKTfxuiH4z8TKE
665jAcSYvJTlllKWAJJulZ/Nrt9EmP2TZHa0LTy+ftSq51igMWZv1HKroZ0cB2wS7JHc6W3t6l/U
OfltggsQxtJzdbJCMQJIYHnQ9LMrVbVDmOJ1G1w9wQsUxtAhcQCxowIoifEsWdt04HU+rF+uCwTG
yNOojBKLbg0GT7ntDdV7y0/VNt+RnfqNpot5PSM8o2OuVqNMygZjNOEiRtypMir/AdRbhnwbC7x8
06pz/7M2NiM45IVsBBNYE7Mob5ryvlMMO9Yau4BqfzTxHiP/h5Wj9k35DDT5xPiLKhHGXpkQXvqj
r/iph3F/4anxrE3pkx9fbJr6HwP8g8aYBmiuXdKoePsUda5CBU4kz62Y6U5ci9a361a4mglHWubf
lTFGIotVEYsyVjb43bELbAMScNJ2xMQi89b6GG7qW1TXN9dB10zfhJi6hP51FUPkGDsRcoKHN5Qd
7RyMcdFqwU+/v46w6m5RrMXDDsrml1XkOc3NtNQa2P7b59SDW1GwoeeRv1aNbWwKT9iZhJOkXkvM
oBqJRiCk3zEUVGU+ZU9QFcIjc7BpXUhGs3r73GD2qOw2z7zWnxWDpHVV9PAZFopDkJM8N0ghSuW2
bCzIePjBveEjv+uVR1q6wJAi7rm+3C+A6ZAf1mgLlcQ2oBXCOCi0a9FO5uKGBLUfq+nP6xt26dgp
BBKgIAtJtMx6vh6zAWMvIfpgoyOiT+8KtbQVgZfPpRtwHp4BBCVjA8K4QGGJgWNRTCNojYOtRKZN
LGVTGfWmy1905XZsjlOwu76m9U1a4DFeIyZjP40t8CCwv6/8YBfuBk9CrQ6xvMsTmaWH5triGKdR
t6QOgwZgyY5SVdMN8dsdvz1idaMWa2KMvBwrrW/omhpRfMkzw5GH7qPVeMH7qslhZAmOMIZgQUfr
3B6GPhEw5hT2oAn5TZBHlU008/n6/qxjoPwHWi0INizDBZP1IC0B+R9bMU/l8JaZPG40D4A1akGH
RoABgH4OXD0voYX+/foSVncD3E6YtSzSES/nn2mshdpUAyBEquAI008o2LtWIjvXUS7WAR4C6gJ0
MIMko67IPA9nIcC9HmsQ3xd0X4Pe4hTxGF8XC2EgmIXEVtdlI4Voun2GiYdzvFNRVLy+jov4hILA
Y0JLElVYia2yBGMjjmRGR7eepK4iY5KBcV+NOp64vNhrdTkWvpWKIE66mJSpV4Epd6EEJCKAMAaN
CBR1Uggv/cWCFjB04xbvTaWc5DGbAWNpxFEL0F863HHqL2km3nUk3oLovy+Q0qY3zbQCUgyF7E7f
VbLmaCOP57BqaIv1MA7TnHORWCpQ8lgCQaR5HlTezvAgGDc5dDVmllti4nRyv9eIchwLzb/+rdYg
VFxiyKNQ6sRnbLL4VrEg9HVi0FUgjyQnb53G0bC/zOrCkJcIzL6j5SkdpVJJHHHTQllZ8yIoyn9g
UBZmsIbEaT7iO+sjubGccR/fiS7N6/LqM2tnCYRbOur9U3+W8Qmh0SVhXGKRWQnp4OKbltYYzAg9
DovHlWZVUBBwIM4BfxYkRMrYYB/rSYDpVnEQJw5x8vfkON7Nt+pGRFNGTtWD98222xeG3WdO8Kj6
uW+GdnzLW+5lcMf8CCZmJU1qztAAwTy8fXIHdjbkGvTbckepZvrDdfu5LBacY7HdyFEwzHEqYMHF
UdhqVAjvvdwbWBYmn5Gj8DZ7nVNseOIaa0dcQ20CQZ5u0lDs/IhHmNwV53OXOGHzM6ifC5Cnc9gV
Z23UkZ+FKXRtCxTGdCch1lIVg14c6RbjF/zyFG466Dihk5PmWzkX14qRIlGF6r2GmZpo4WUOu1zp
kSKVmKEUj6mHUZ7afhBHp6+2nEXxcJhohVSmACZkkzrTpnMLCFWVb7hd5ghJbLowOqWOONOBp0Jx
+coBRXa5PsYoIcQ/aWXSpk6e2bOfHurTYKt28k4fAt2GX8y5TCmcA7J1bzR862YnYaEANKWN5tPp
Ycbb+IG5445uVw9Q8OZ83BWzBHFARjYE/ZZ4eTNm2cRtFRT9mDpElN22+UfKoTlQWxxLWUcBBw3S
/GAAs81PcmqUJRIKqSPpoytqN2qHcydOnPv68rVNvx8CEDCzQPWACz8/Y/IYKAKZsZjyA8zLHDJO
VMcT04FNBwqXzm/VnC8/twFKJw7gSINeh6lD56BN0rZDpeeZowr6s5hHp1aeePmYy7cOBUENFXxV
HcMUWIVwDJ6ATncjp44FcW7Vm7eqO+9/mz9/9PfaBYjOGcxQocRfXECMUXRKX4lSp6efZOb8Bp8R
gi+dbdyjE2KvPo1ozJtPCIV35da4i31enLJ23umQXgzCAl8Mqz7/ohh8r0i9KKTO0PT7WNkU8nsV
DPt+fLnuWOjOMM6SUtGgfA7KLm4/ZpljUKeGmgGnaFFDUGu/yk51LDqTmHnqyHse01/Noml0bIyG
2VSU23q+qjHrRDR0CImDyOst7Iz3ZhA5x2z1ACwxGFvUNLPKBD1InPE1eYL6/yHqnHlLpT2IKw52
/nN8Rsuud/0zrvrJJSrjn00zicepw8qSXfQUb+cD8gyof1M3Wfr/QT334i2Ow4DRw2AiI/wXQVk8
/5JTGmV4iGT0mFuS2+3IqcRYPfUJDS2hVxJ0yw1e8Kp4KQZXY3PfeAW21Z1c4DNfGQ3kUI6fgG/V
29y8K5pfnA+6dgCWC2Q+aN43CYQEAKAGnhpB90s5mDvjLRBsxJzOVNojfJtX3Ie+yiugrm8mXm/I
4Ejo9mf5T7o2KpA3j1JHuVX3VGC9fRYeVNu8xZl/JgdeRXz1W+KJbSLbrKB/ggl0Z3MOGjVN6Fkv
NgEGwnYmL728CmGhvRf/gXzKQuR5TvKkRd23MX7K5kuJ9+/1/eIBMNcOXm4aJssAAG0zHibGeybP
I67FrHSm1b9rYFxVopOmGOiE6uLY7DDxNYX8ogDiQCjbyl7YmwekkaE+zKVIXJRc6VFb4NKlLx5b
oSRocRHoeIfED+EWKuCpY9wWkNJTy1sDb9VM4PjkS67mJyKEq6D0ZEJvggm6lJGAXqUgi6BWUCZC
CAQHlu61LSUPdNvRmR3tRQWd3efNJ1zzKoiekSb9vMzZQb46Aoe27k36BKHkk2Eb7oQNSBkc1sma
saA5BF1JmK6ng650/kWFdlRz6HimjjDeKMJtjA6o69a4doIVdE5gEhEYXpdkKLnJ1RjvEJDg8KCb
IGYJZZ/4n/pn7yadT3UDuayLlTWdITL+qhHyQMoidAsS5XslHKeQk/vn/X3GJpKmKlv0jMSOCk22
HspfSci7OVd2H7l3PGKQI0ffDtsnEaUoQM3RHDvmc++JmBsNHbjEHuzohxU4YmVrN1SQgMrBCaqr
oQWd95haM3z8ApPOr5IQkejMUZvaRu7DTkTLZUZH5+ENjHK2/GTLBS602aF9VyU0ZauE+477LFcz
oQnaJmh/Ngorl81rUZVYRSka+L54c9R7FDKd0Re91ikeBcc85qfmYDxnoN3mbi5Alr5HGuxRubtu
t9RILn4EwmhUd8BJRDx2fjDSkcjZlAuxI4jFTow+smSrDDeRZnhSG9up9f063FqsREuNCCDoWUSj
7zmeEg5hnIxYdHCyELxnaOagE0ym2+qAiWFUWG6EeuNXJ6DTdMsSls0+ZJFatfFkxk4fjyB7nFrt
Lw7LYl1s3r1J4yiMRQCE0pPQPWoYDnb9y61EJ2crYK67ps0GyUoBkEYy5o5Nzih+T6InNeZoWaw8
Gs9wmDsvrKomyhTg1HHqIkNuo0HV7Q3eBKRP5fBLw/vXED5f5Ys7rmjmVOpa4EAdUXzIc3eGDFb0
1NzVmEVU3IJm5Cob5YXIdvbDOhFXc8aTdKo2vFCIt17mZuiHDHl6mX7X5qfUwP+As5BHPE+35kuX
5sEEzxj4akrJABR1Fuw+LJA/5xjgWkbxbOOY+BiRralOdOOUW+vY0ZEIru5oCJdbJ/KLraDZ+dO4
KTKMJMsxmKjdqvfJMy9kWv+a6MNEbx/lwjFWmllS1ZoJ7qQqhKZNYMNgbS3kdMusf8w/IIyJFulo
CtqMi6mbX1LhpBNeNER/5aVt/gFgLgV9KiQpzrAK/d6yVcxgh1gaUqP26M2n4p5HGOUth7FAzDrS
ciivwAWX30u8TlV15tyzvF1hrA8CX9D2MvDBMqFxre5YGWDofLnx4FNSAO23tBKNRwUTjhjTIMxq
o8LFShsVTnwyP4yJV1JbSR6AZ/4HhLk+TGssNTICRBdMp0qetOpXMP3Kp20o/k32Z4mlMw16mOpn
Eujf0Ps53Fa38wFZwecKD2zdnw765F737+sO8c/SdOYmDjG3cGhQFHBkzK0X9/mD6mV+6Ame5hEo
mFHqaoNCe34nwz/ZSJs4IaaH89wh5wOzHIzISFvImMFUSqO0s+h2CHqUx97b2IQu3My501Ytf7Fk
5iCHAgpvqUVNRoSa57ukP17/pmvh5cJaLoO7ttLEFn9/hNIVzepqkIBruEWG1SASc8+RAkWHqqh+
viOXdxnyP3HffVqK4p/gb18plWoz7mkAWezjW/1BRC8zL1XOisr/jmoWuIzL7ywp1yqMgnRarzsq
bnHbYPik+FxukPK9Tx6CWxEznwVXuusf/0MCajUiWaAzB37sMB4X3CC44Z+UC9JvhJvioL1N3xvI
mRZetcl5AnjrxvnnOzOnP4shj9BSRFMUDlMcHkOx26qlslMxg9rGM57zalzfWCrnjOm29HJlzqSu
JmLY9IiOe6f3zE3+bu5pvEqz22herN3ZmT2abOO9ilc/LfJAMq0O4hZlcKO8mcI6wl0utJOTg0le
pqmd6L0nFTwexOoaoZ2BPmT0atKixHlEPrXFqBQVsLpXsp+gSSvuJ8yoUg6CN911aAR5CZ3hhD58
zuFfW+MSlzFevR6Ktg2Ba4WCVzWNV9TfdGuySyL9xfW3RGIMdZIwLKTsgVR1llvWfhIMGAD27bqv
WfNl0Fim7sZSL5U79AqVik5VYlSRfqXx+zi/Xv/7a8UIPM9U/HmUMlFoYfYJ3PhsNulLlZapNmQT
vlmYNAkFc4x1/w9dVuxM+U/nAvECA7l6Fc3jrPLErCeaNGhY0OhXu+YYP/Q35GFGjgaJbRi+9kH7
rmUXOlXViZfcXgtYltjMjs3aaAXg5yFgSY9F9N2cDhkviPx88rFB3hKDcSYBgaxwEMGZTPtup2Bs
WLqDaBn6xnjx3WpqaIHEPj5jea7Qhg8k7XaAm57Rp0axJjjn/6Lpwvl47FM0HaO4zQV8vDADF1/9
pmJKgRTx9PJWUaDHaaFhwxKh6nLuNjJJCIIooSilbpvRAYfKNo2n60a/DgLHi3HpOuhgzB7psx5q
YodoROgwLQUUaLWtIcDDDfVooHFhC+q/OCzzes6KrCp74CSS4KTwsbpZW3ZUVq9oCrXlcHyecuWu
gghbJeu3YY9211xP7bmueO/iVTey+CWM54+rqiUgGyDA7bNTVpbbOGo4L0UeBPNGI20+QVMOEFL2
JtQHyeCklHh/n4nqiqnIusGkH1NJMQP+OSJ/4881MIRVSMWhCZK5OeSq18UZ8qxOq89HM1c3ujI+
CsEXtf5+O0BoZiE3LZvIkDFbMVkKKUz6oGmS+D3orBd5jh/+wr4XEMxWqLEpWJaFQ4SJo3bUzL4J
dndWTZwH82rWzVrgMFvSt0oIFi2WUgbdc91rHkLvHckLL+6IH5YksydLO4ikPcqteZz0Gq8Nq3T1
ohfBwmx9pez+Is20/EXUiBYhs64nSSMRrFyOTnlmuvmA8mkhf02O7GILqX9ZoBAjKs1+pk5K9Ejb
e0X+LQhi7/omrgYyi4/LXMxz0alyLgJEGnWfDK9SC2GaeEvQc/UXQBCzBckb7FgwY89X08UhpheW
QeyIbebMar9X89th0u6jhNfHs+p3F0jMd4OyNKLhDkhD7fb97MTJ80R4y1m/gRco7IezMIgjzRBd
o99vU6FPdIb0U7fB4BSOw1jdoQUQ4zAgEdKNo4blZKWpjR5WF2cYh2rOoT21un4IDEGR/OubtR5X
myDFiFTqEO0M57uVSkEozGC8OeZpeqGzewrf3LXQVYb0Mn2Gghom+Ba3rLDifTHODJUMUFckCXpe
57CEGOlgFEiwz1ki24YWbYIQkoqcxVHHxFyYoKio0O4CG1QHnf0cpZ0V8EF1OBSyNzc0pKkOlHqg
oVLzF9oPaNNYgjFRgEC0SKoiXChBDMbb5KYyjym14iChViiBi0V51OA4MA5yIpJUZXKE6Wu36UPX
H8g/6clyrLdysMkxd0nrDLoTjTaPxnRpmee4zJEGcXu2tLlB+3P7E4qJrm48jCBUJIR3A9AFnG8Y
gGAUOjg3KPKyKYqqMDHwTsUCW6+uHdSbQNFS7fwo3H/qu3E7ay/NkGoBG+Az0XflhQKFUBjJ2Jth
7kj9NyK/6FCwu26CKwCQOIPxiXgK4YZmznTYD1I6tVrt6Hmje0GDVrIR0qKb6yiXjhAkS+QyEQNY
kMZjNY1HMpFEq/TamSey68Gfq1vzvlegEHIdZ8UXAghvR6wFwe6FjtrYTE2qSkrtqJG2hy4qNOCR
MBonf0oCVxCmX0Qk+1BLN30gc65iLjYT6JRtSbMqcu0MuexZaL0iqS2l32oIkwrhq5beyeKpFtzr
K17Jd1Ltd9ijZuI5iwDr3IWEXQDCd2TWKJhLr8FHv6lLp0CEj1lgTwGSKmgklpz61+Qa+w4dYMgK
YLNLP3y0fl3/JWt7vPwhjC/LQcjpkIgA2659iOP7bviViv9ch1jJ1J0vlnFhZVrXuCcMLHYfI+Px
aO4V6Jc1tz/yE9za47B3EqoOob0n99kp/nYdfcXJ4EtbmiGZEFe+UMcuG9KVpUWNWH3Q29kGB9Cu
0n8SjRP4r3lRVJHpQDLdUDGejN4ai3ALA3SqWbOEGgxG61V/n050WqmKMjo59k/DSd/yC7srHB30
C6rip1NDMx/bxzfHbT+QsWzg2CbPAHfX3IWbYEdRhU2zQe3SId94WfKVleL5ISMMg4gyPBzLbpqy
auikacioTita746znbgp6K4GqkSeaRfhfxArWMkAUVDQcxD6IddsMJ83hJxaURZi5jSu6HS7cDpl
PhVOkbxGPSRcgezLc0GbMBWsEvwEKBbRf1/sZpqjfbGFOqwTYDmR9ZSh80MattdtkwfChCtFT6YJ
qZ7MkcXAH6ODLJRbGaoW11FWON6IIEDw0MC2RjTGfroxEKxSNWMLYiDFztBAskjc6tuA3uoX1a/2
EMNOTgIve8xeUSA56Jj2Rqn6cJ/w7OcfcMKUOWNOk8TOP9p3Iff7+8w37ypMVpjs+Lv2Mr81tS3y
eHHsaaeoqEOAREiJfRdCuCnoeIbVijFag8sH0kMKtwmih1Gsb/qOp5nF7h6I+paI+URgseDYI0dz
vsJejHplnOPczvTWD0XlVxtaR7UJOUZysX3gl8OlgIotgp4movfsHCcPwHyogxGytK/9B3nHrBLP
hExR9o34xj5+TX1eXHa5dUBDwQB1TCT/YTPngH05aBM6VjCzahwm29DDt2bsd9eN8vLjUQyqioxt
Ql6XyaAZbYX3TwaMRpWcIj/l8mhL4/frIBfPEPrplijM5Z5USjM2M1Dafecmd4Ns1zfRK7nBdQdS
eTLZ5mNxE5i2Cv4F5z7gLZDZtQZ6t2MwARqZnDS0i2kaNxlabXN0DSo654iv79ifr8lE8LFCmqpS
AYZZd4r4I5k4qQTe36f/vvCGohZNcZng7xvzXTc/NCInQuf9ffoxF3/fiCCMpdb4+9nU2Gp9UymF
e90UeAjMYa2NcawhyJ7ZYZlE9iiP90SaOfEyDdqWzwzW2pigrs5KzMaluyAU34lAjpb+XUkwhA1z
eMPoq1UyFowJ3PRkgkqLCLCq2yRS5in6viZoGuR267ET4Knw4NkhYtxBZKmzKAoTFGCO8l70oGEK
kn1qj+heo7VAaM655g88D80foZtxkhecbWOrB5i8IXTtAOwutjxEXnYQ8rja9ENd2TW2YlDlXd6p
Id01yNPakII46JHuoKTxEJrzlqgdlLLH8vG6OV5EbsxH/Qx3FhZfoWUun1UsjIB5GUMwY0c5s1b4
qVeNoSMQ/3SSfejyzIbjlj7LNQtcjGDIIJpAz0FxKNpyr0d3RVBxjvMqCAS5wXKEeobF3v3D2BtC
ZgCEYJKoNlmOKLa2Unwxlf/5CTULj1MwaC2FbZVXAhk0jRYsSjG6L/TACbjDQi6jCVj+AoFxq0E9
Rz16o+DDFVLfJDn0nYr+oAvRtJVaifPRVk0dEioS+p8wmYQVGyF6JrfhiOUg7S7YQT85WU8iznm6
eO5+frQFCnOY68Yqs2YAiq5k5iuJFGjyjZ0hHDCXJbqPgrlxcoNUh1KF6EBsWeW2muWJE9J8lvAv
ztyfX8F2HRYDKVWhp1u3KUFl2s1HywffBykmnzwLXu1W7+FTYuJRSEmxmPtFdgLHelZtdPETmNAg
7IQBCUTsLaYM7Jr0NkrbXRr4f3PMFyhMFDCN6WRWDRbaueED+bB+gkNhK4fS0W7Mx+Qma23j5ety
PHSTISKD/BCENtDOxlynQTAZSZEhYkx1jPBLU8mZQuWrxIJPENA08KSGNA50Os/vbIV0etLk1IMN
GtpPoEQqY6DrOHI+4doZpDNA/xeGuVT1WZhRz8VakkS0a0wLNEEvyrvKli0eKWPtBC6hmCu1DmVI
g0N/wU7U9l1KuruoCziN/jwI5vgJZGqGscZH64tcdKpm0GzT7FyO1a0FIouFsHMJMB1dGoOS3pou
ZvFld1CU9tDaJR1yR3ezF0vzy7vEs9y0seWH69icBbKU+g7zs0otBXQt6E9tkO6MRvoyBBy+acno
HNbwJGLfXWU+K8hAZBB/tNLwe9RsyrISXr+6DGBYyM+ZMiTUISZ8btylFUihogMDL7+3XBnfLd4m
XX6ocwTG2IYO00LrAAhFG2obK24kW8hH3ozNC5UD6O0gT2NCMBBTbuAMGJhO1ku5FzTM3jiae7CA
JOgINd7oyYMjb3md3Vw0xrz1uFUh9wE0dWPusaLEx2SrjeRpIxSSuHko6jzPbxH8LZDE0LSFmUEQ
zzrfpKrXaqO2gEacwR2PMxS6sDplE23z0BX5Srr0SriGx1wZGlJBZoSiEgSZ4u34CHqq07qSMzzI
XEG1S6+HlhSo8yCHAjNHFv58aamem1qtY2RKbAiBOzeDbpPG6LdxpUkbU2wMTvBBzYBdGtI1GIal
qmhI06i1LsLC2OzF2aqBJ4bRQ5Pn35uyk9wG0Y40IpNY15I9iei9uH7KVt7nGOyDlIyq4pWBYJGx
l6BXAuRNuwh6Wm26NeabYMJ0i8wfbagD/Kyf0PJXlYfJpdK9FsdLrhzAJbbBWI9akQrBPbA7yTzS
94xRcl7NF4lSHD5AIO0GogZWyQ6ybpSqIVE4AsIlnjk+U5URA5If40vegkVW3IzwzD6PP7a+sD+o
9Ngs9rKZZWMeLBLZuta0tjUEjS3+4GwcjXwZe8HKTHAMUAUFJYfZuJKogakPAzYOR4+2bSVu9Eil
KgzoJ4rfeB2MF9nf31/yXzyWcDVPKYoIPfA614SztKmwMuqvbtWCAVg5X2atsXjMUVfVtpATCXj6
SXvNKjtzI3ewy1fzp3xUt7HPVaO5vLKpqfxZILNpedOLRhMCsPXEj+4Yb41tvMd1vQu2s5PdJNv6
MX8UuDzUNY99hss8cUxrlrKig7Fku/yBtqD+nJ3qZtjwtUR5K2RcTBe0YaAjRWHnQoRiVzjdYABi
a0a7AhPzhELmpQ5WXCjmaSIhjBy+hF5v5nxDnLeL8hKHLxUz407Io103iK2TinLmgx3AeVhdPiew
fws0xmB6WS6LBAMOEJZqGGODYb7xXRql2kM4pOnfeK4FFmMrbdSn2pBjZVM+7/FQ82v9hXO+V646
LAdBFsofkDVhKQGZVUxNHsA5Jrtml3vDtnYHjw6HLBxe1L1uggssxjAgCRIPRdRjo5IdpcJEPijn
5kb0O4ff4rHqHBdgzMVK5k7SS4MuTM1+6oqNEP+d8+3o57/wjag4ouiC+hFS6Of+N7YyyDRLNQ1L
iNePbu6N28oLME0uBZ7Ha4RYtfMFHOOKZ7UszcJoIjsazddRVHwDubhWeU9r0easbNXr/4FiNXWM
grQWSQGlbnK8Xd3KHzEnr3fH2SnvSheyLN51xNXdWgAyp2oa1V7TMH3SDkip2dC40Qv0A/z/YTCn
aSZ1C2UuYODN/DyEth7wOnHWLXyxDMbJJn3QTbICi1A32R2meu96n7ifzTFfZkB9Xlz00UJ1j5AV
Y6BCjVh6ijmytpUb/qSilUG9v/691u/iBQRzXlttLgar+bRvydeFx/+1gjZ3LGXPj4VXCmDwrQtA
5szGsx5l+QxAGkYJ6svvMGoGZcFVProHZIX5qqirlrfApKduEURVIcmGOgFmXPcPqFpiVCOnQMRD
YJ6YxBxHK6Kf0ajjlwbjGVLyzNmp1SuXjjujon4YcsJ8uFLMej0wywiawuVNAcuT/NxyjG2wA43S
Lwq3dIkrfKjc58t6YL9AZj7fnPej0upA7tzBRfqLYJ1NdhR1RG4jLhPRF6vBludH2r/BLxv8Hzb6
Z+XMxxXruisKAfjJrsfcBuqmdFv7SD57DniE0ZWkKjXQP2iMx08ydGCFUfXbL/abfNP7xQ2NS3mV
2fUXBaa3o6SOubUYpXRulkJIRw6UQBr9YPM2NS8qnUnhohtlpv/7zazkPbTXbhjAQUAEqXzZYsWx
ms7sYgO5cHtU9RSDumPBKYpE2I/FSDzE5TxO8UXPCHViCjrdQOTEdFlwOc9XWcZVPUFXEI2eGNRs
3ss9XvbtrZY/lZLkWJH1XZSrTaXUd5XcumqzRw6fcymsLXn5Cxgfl+qY7alZ+AW6cAwF2ZPL10S/
Hwdeyzi9nM9iBTRNKZQEhpGEGKX7WXtbuBk5rUg6FdqHioEf+b7bEh+MxC1PPerSg6J1Cq0CGh4Y
sJyLabPBWLe1NAw1kgiz4mdloTmRqL8KwbjpDIwgJPFbZLQPWVDdx+38VjdCbzdRuQsG8zWTeXM5
L08n6H4gECGvAYtSQaA4398wbUA7M3v8HEfyoegDnt/Bcjo6hdzFWPDR4IQRlwZ1Dsg+HwVzCMzY
AOCIET3ggtFTg54/b5i9/9hAdhFAM4hM5DK0qVCldInYWXCkwHerPHRNmijr8VUcL6yVAWNCmCQx
BGhGYntR20GQSY5jel+rCibj8LKW3C/JHE3SmFUwalhXh7mPieJ2mkevY9XVLVsBi89CzM5LaHBB
mdNYZPGcVdYnKEF3Jh7jtQci4Ykqr6ePEjRUnOs352WBCl8UOWYN1EgwydGrcW6hlaxUaa4NFeb+
kBkNsGhEfcjcEjrTHuyTKkKBlTkWeBJBDBQdsINbf+P8BLpp567h/Ccwh6QeBxzRAD+BOMItKcHW
d+ikzdbJa5t6fAs1XNURvNbVMEcPk8MksFr+Yh4wJlUvPwV7dloIoqRaRCq7iZ9lJXtKtOeyAKPl
+nIvoiEGhTkvJNSEZBCwWlntNoFlbGZOuMWcEUwhoHw0CekAKO9A5pH5nJ3Uj3mopzqGsO8nNdvE
XeLUQ78JuaOIOEhsP93UAN6gSKAcIcZx5ifrR4JG9B/xJt91N5lmS8+hZBcn3j1Nw7mFxbBLVJhv
OIZxPKgpgPWAuLmqfw8S0cnmhGOZPBjG2xgy0SeopeFpkUVulpDDmAQ3ncXtkGFy0hfLYVyNMNVR
1SpYDpWgKPfDnQzjp6RaTbNbPKDo2atO6kN30jlVOjbM+oTWETWA2IdKPCqp58ffhAYEemPSyp4t
uzmWNzS/Gf8TbsAP2dCh8MO9uOV5OeYEUEz0n9OR6aDVKugbOMcMmrCeSgmFTSkq7KZo7K58uH7G
6F9g7OMMgXFqmL6aDnKTmc443bXibGuktSsFsu8Y4hhXvP2TaYKNhUMBGmo4dBK89vkqXsQ2+mSJ
zTRNJjTNy8wuBS99sGwdKme74TDs46fqBqLmYPB2L2il5teiVo4hRoMgVKaKsuCiMKtts1pWwlQy
He1x8sob3FKn3JGfjPsRYtuoRu1cYce7N9b2EFp+kNlDvQ2Ke8weJoToEooKld1C6aiMwDTnyfaz
bKxPM1lCMMvqDA0cDZRFIb1ILwS09nnjLvYit9gmL6YdbIX7EgpH9UF5um49bE/8BTLjQfuiCBWS
44N2YGCrJ/VefaCEYtWDPAP68b3KqzEQA7eSQxU3eM5tfTv//bRssW/QpDAPEqCreWjX5VOfP1rz
cxnw0pEr3g2FGpQ0TA1PZowqOT+GskL6ZoAasd2l4+BFeOfcW3kTeFMa8qgNbFzz+4v+wWLr9HVe
NCLYNfiivr6ZPMrsHdCLD1mwjXqsNl+kvPwPHOTg0WxDW0+o9S4OZBYq8DEBbnItEp2CgJQqlSj4
KZzgaXWn8NSQUR2SUfViDoECZRbc5arpFOngz/UtOqG2fbeVhpwDtLZV0INA1RL3OjqUGCAdulFZ
k8CfhWLlklr2SuFgit51s19bDVr8VVXFwxdUF+ajaamBb5lLhlNYt3n2okepbTXvdce7cpgHw+fm
UE4DHBUyxxfiYZMGDCmE6xgwjsww7XgfHLUNFIVl1D6/2BNKwWhCCJQANP6hQMlcrUpHjDE228qO
JzHclKr6T0cUHCuZvOqQffKvf8LLfYIloEtFgoQySoUsHUkYMAemqcDQM/MElZ7X1tBclQzu36DQ
qc+aBJVmhdmoTkLTWFMbGL8qRY5JyncI2GKGxPDzOgz9M+e3GhaDV7RIW31kUK7PD5FWBnmhCJDb
lVWklyoRot2q+sXaFfbnHIRx8uWgWNloYC1hBg35UcwdYUYaDSITY8OjBPIWxDg8UtYQOo2xoDpR
HqXAcGeD5+guzxCWQxVOoVqPc8qKCYSBHKPQV9S23Inde6eE/XaY2qTDmLhsRNtpFqAJ//o2rYRw
oBSAS0mbQazLDuQpJWZjFIKApjPrMXkK0cWDIM7ypE3y3r1UND3H1Q9bMfQzTMY2YBD9LHSB4Gja
Ayb2OIry1PN1Y+nmMxZ4hsIYh5Q3UOVvKAqm0jVPc2AHL/leNj0UNdtTs518DIiptmnnJCMmdvJy
kOuLRA6JtoRi1Bb998UtMoiJ0RrpXNuKhvFHoaC1Tp1HR0EwefSJywCSskLQ/4wmV/gqVoTHwllT
hQpbSEWZcDnu1d3k67544C2JTUjR83aGxHzSMapB8x7D0DUeq9imcmk5Jv2SV4t2X3L7a9h03AUc
c+TKwZrlSsTCwnf5Y3qn/fGYWXVE7GTsQ0dFpyCP9n15AjHYABc/mojo49NiEGNkM0CkSqHelYPG
IP2IrJ+x3GL83/v1Y3fpTJY4kLg9N44m6icowSqxa2mVN6jTrdVYr1+FOHcmzPOzCrvOLFJIJIeG
4WpgC+nFl+MKigBZYhNWh2lIDMJgFamInEfgpDkurT5Nq00gDjhT5sf1pVzuyjkQcw3rpCtEkqm4
GCGt59SFLNm9oudOI5qF3Q+SwXGKa3h4O0gQLALlCuJF57tjiJGWTyKuFTPv7ioF+maW3GmOKXll
E7R/8RUNNGvKCJAwgoIVqukh2itCVUhwZqsrMVZgwhw73QkCc+IAXdqcTidnmrqCSx8BGl31wiHh
/7QSMRACB/qNu1gV/SqW/sLmlhCMYwc7xypECxDJKNzWiq9N0cN1U+AtgtkaebKEVJIjwUlKRfx/
pF1nr9w20/1FAtTLV4nSlturyxfBvvFV712//j28eRJruXyXdpwAQQADniU1HA5nzpwDxrv0Wavr
w5/ZYIJAu4xOU6yR5PVt6lvmcJtZmGr9IxvsM01OgHC2K9howH+KaR3twe5iwcw+141/fnB2/jiN
nDWy6DqMwtglRuk2g/TQ234hki4XfBSDCQQKHoKJ2sDQVA3PRmpCEA1ad+S/7JiuOg4NOArbsTfq
PkogdyB5Zt9qrpIkh7SGUtdlI5xLm6I6/zVCV7o5I3FlFIWdwkjbVp9NJSJSV39rmt9kev7IW7dm
mNyAKiRqdTE3bmior2m6Bn0+CpyYuxKgYmVU5jEF/sGssFlJWUSOWeUyGhBzRar1xbGbvWaOwe/v
F81u6Ai4guSAOSrl2o05iAglz7FCt45WAGqANNQzQejiVAAQjX/aYWvFIAE3u07pPtoplQuwUOcZ
0CfvXVUhcefSLgOlpagFp5RFpHx8KCCMQXZAh29B8XXqDxCxrDC+jA+VmUoP6VzJWFZXKVepdFUj
Hr/Xg51ZoHhDu8fVSxChg42j3RWdBH4WLTdbW/CDzk/aad7AlK4bZ7HWHiIS8Ms4mJLmazQany5/
Uq4JBxoVeCJaCiaqT5fctekwjJ2MFCgvd9oY3lntIvAazqMDaSpa13h4oASIB+KpDeANM9CzTQlJ
3k10dK398iO/i4MuMF0nBnuxuUfh8TcBTPiWp0aZLGKyk1LFyx2MKeBl7q3nsfjN8eK/vQUsJXQc
nCqVMF9ngTpX0rcxooZh3ie6dBNX/uWPwylr4iBsTDA7tzr1WodNEhGtvCuxb5DDGO+MT/ZBv0Nn
sb11buJbG9jRaz32oZCyv2yeF1S21pktNKSuk/J0adwBYESCRr3hFYtuuVGbiUIk/8hvVsqE4sxe
zHFdsJmjdWjeh1c6nEO70Vr3OBGViB9svNfNyd4yUXlB0gSJZ1icvOS2QTNjvjKf36pDRfKvseDR
Rk/R2eMUDEvApgA7CuH70xOgl1mZ9gZ2slOeFy2WrwxzhPAe/nH1zOiOUVwsu8sf7/xg4/Emg0bg
QzrdYUeOamuOWvDNNe4SykRpVh3pkyVKMjlvttNTxnw2u3P6brZwyoAjrtzq45EYuY+926E7jAEF
sSYdvWNOtxIWbVpGpTxPYPA43co+ak00oSDELR8TyHH1++IwHLKgEzB1nG8fyoDgWv5QglHPNJTR
kZqtXpVKgoFySM2ozUDMzhRcdOduASN4ysv2B+URS0ae2NVYZbaNd6H5Jps3WdW5CWgJG/3b1ArW
c36WqSlasEVRGAkCc5bTdi0qecGHapzbJE/dqbBdR1Qx4H0b8Mxh8Aj4HQjRMW8OtELyypnGhOi7
9kDJ1bUdoCRCHB3322zMMHeWVOBzadA0J02/Fq+GvJhHRXdEWQjfCqZU8U6zgMhhzmw9JgZ0qKyE
rJMNpu0x3Ntj8n75kHICPD4LZpr+McLsWByGszyOWAqKOa/A/hkx0T4bQXKEXB6GSN5DJDsTADKJ
O7/kP0TzFfRvZ88Sri9oHSFSyJBbOj1LVpfhM9LvJa86iaLEHeQnS97ZyuPlZXK2Etc+HfgFW7WF
NODUzqzbTWaDz5RY5i6t6IjifzBA+9KYFAFRGsqppwbKwtaRf2Eh6TC5ZeM3kkhrh6Z+zFYZGwvs
3ISkZXKiDbBQrWhDaLNKojLeW4tBykx7rXXQKg8d+f1tA/oNtE6WrtF8+3RVTh3KNnoSCSks2euG
58X8688MMEGhn8s0cyosyuhKxZeqpSBz1qzBn1mh3rF5mzRt7GTxx9Y5nyLzuQL84rIBTg8WpcrN
RjH+VSG5jRsV65iOHVhtGg/aufmAVDMPYvK2Lh5y+esi9pX31nTNvZi4nncPgswJctJoe6ngXWDW
SCv2naPjF+iGO/lhA0xG5DvARMWm239L91RzQdT75eXV4HVC2UqBkCmyd+b4QolwnpQ6qaGcbcee
7A0rncgKMi8vfBBwu/1jQbpV2Caja2GPwtYs80pq88yazQRchI4FMmc7d8PyIPig1PFYE5T5EBqR
VDaIva2SHAeiD3HJt0QJ7G/TDbC9IWVTo4OlWOXs/T7OBA8GlALQQ3AcA+NIp066DAUKgw7uR2OR
SFM9akrkX14UL4JsLTCh3gEvFkYix4oM3cvS38595q1z4nYGyn916Y3J7rI9zmuW0lThukczE/Ks
LL8nWtl9p+lJhdvYPBb7yC/ARpc+qnToWPTBaChiPxjGKoAiQyeTAnVOt6/o885ooL+EZFqGXgQV
rJuvLHTsIa2Ay1OwNJ4H0motFHyBEQbb/Km1VYNMHjKdivTm9IxN/ZyHv1/tBof9xgTztczS6Wdb
b3OCltmux3eqZZmsSy0IXfSXMvtmyeiXqpiJQiebdXSjskHD2OkZiZdA0zM3DDUQbGYC1+PsF8X8
4Nvg/Q1VemYx1TR1C6bjUDWB1F09/FCX98u+xl3GxgATieamteoiKTEOV7fHdCmOYKiXYgFWkRdk
kaOgdg46VLQwP66BzUXSoXsfKtCgJBBNgNqwE6SB9Gje9678WQPqrW9c6a/L6+JunAPaWohfwzJb
U7WstdXXNa5JCt2jKsz9yA4Fj2xeFEfhBb15pOZoP8jMJSzlg+TkcV0hivfSUfWcQNmb9+Yd1CCu
49WXSRFEgUEuL4z3wZAqUfo8QFIg2Xl6gtBmk2ckhSmRUcparZtKBZLWELS9OI963EoOXjcUugHJ
ELq9mw8WWUPsOAusLF7SeHH48TyMSYJb8Sre9ze5J1KH4O/mxiSzsMSxDSQ1MJlXrhJohKKwDGI/
j14KynePai6hs9R9FwGkuM6JQAtcHbpjYPhmUtBpSRUtaeOG9CQ03GSv7AsvDFowf2qYKpJJfBRF
QXpq2dixscimpKrRjqlkRAWxIB5YVxPqMqU7mpBZg0LiZXf5f1aHl7diK0CRWMydj7trGtJET3GX
dK/zAR+T9Jhrrw7dgW6qGIvDO3mA4uCJj04VrhXmVMzrZNkIKdCAXOProur8sVcF7A70i5ztnwa/
NNBikDFrcuqdM1V5ALio+N9rVfKHQNoVgfBu5J01G5VVCqDTKDzm1A70mcY2GTXg8V/WYPHHQ32H
N7gBlgwLpDq4jcHeGvST6JNxcihra5bZwd6oVrBHw+zkxc9z6A47/AIQ4To3NcRc3WUfC25l7tkD
BAjdGsRKzKowZ2+QYkpXiPhMocnhfIgwuhMGIyTPMOSbgrLKVqAE6InyYN53BIsxQihlB7HZa0GX
jLTtV8w7aDpUe+zZlyfIc/eQG7MrErUjhlf7/FgK1ZfOgRjgwAUFE1hOQWMBzd7T79po09y165yT
/EBHEJQ9BWIofio86NzTB1uoqmC6DXB99vQh1ZHHFJ+yD8bP/TUgfQ8REN+zp9lQQs5I6Ykgu1yf
BegaZFk2cjr24ktGtNmnxsD9gHlISKr0w0FIMi6ywZyLRFKBWsgVaIqkx2mEQIbeuSuGwS+HLr4V
GwhCNK0wWcV8pWxJ8jyLesRlE5PSRm/+ZcaWbylJKrhSVZ4lByLGKBXhU525f2Y2SSrbE6QBQF5o
YgTlfYASgv7NGjyqYg245034xfGSg3WcdwCc6Ia/ZgifUG0UMljwwuf2tzAZX7woiaPH8Jh17H1j
yaHgbH26vLG82pUF9CLcHxg2ijA89f+wyAALTj4CjEqV2iXSK169Nx4Nf/am0QVRgTf0AJR1V4bk
Gs+XzfNuv611+jU2uUUypoY8SipupLT1FKMOlFFHP/JrLSxys2NPtJUETSvcQ7R2SqGap6Ys9OpB
qrTWZFRACLJCQ7e6WVFbUO8p3crqWUfg9eWgOxTB9Cn1RCiljwuCvai29pnjD5kVG4FmrIm6QyS/
xmggAXfCYbillMe9K93Mvta6KzpAw13t5btKOIXBcW3KZwOENLJvIKUYdypB92grEyhz8uYmdK6l
9CltRMkiPe7MKimqCI00lFBk0GOf7vJa52E/hgBj6TstKMl6pTXY3Y7E+3anakLeKo7/nJhj/AcM
3eZkqHlK1NHynEYhGhR0nO5r03657KgsqSl1H2TZeOSB9QJVcRbyY+eIoQ6NpekBuCwS+RqmO5VP
oNnQn0xXD4oAc1c1Kb5ftssJATZFaOPVokPogy3u9oM+pmAywYhOeT/mta92ogo5716CCQQB/AM4
Invhm0UF7nmaFYL9KwfqMb6pbofduM+u8y6Qw6MaQJwhkILLC+N07mwbFtFvBMJdg0bCqafUfZEN
jho1JBzTnZJhoDzprmNb8xvtx9DrbiTPN2ot+Vql7aawcsdOpMzLOw+UehEs1SYuZRY4uIaTYZZV
3pDCeYqHQ23KWL9omecfEETq9IWGxIaj0WA3caZrJuLrRxEMQheRO5dueJAgFmQd1XBXkHInHPI6
z2oofTsI5OCwmL5m+WOlygQKvscD6h8Fpujg7ChDgKi7zF3exhBzMctRMRnShAOomD0EsgoCCPnr
b3vKBxe9BroeABBQXzn1lCTT19E0sBin9wDcILof+e0nMJw7u3lX70QvMu6SHGT4EDqHX7KOqZuh
oXUDzUSr0bPCya0bAT8rp6iHFW1MMHdBGSlAKBZ0uPemPSh76bGS3Nkzjppf7lrhXPN5THZk7Bpi
Fp5JIE9hrPWZLDXViG/UUel40y0eKE/igoPn9r+g/3p+rKiaKX12IevU4H6nn6tWwScS1SokFRNj
J9eFjy7lGzZVBIM/j/2nduifb3IHtVihVQIBWJLpteRqzvwtchpv6RUryPRJcI7PnycwBvlznU72
o/HK7GGdxhCh0Bb6KuoPDZqilM1A7Hs06J1enzCDiiXYqaAEi0r26ZqyepzKfBgKkoBdum1tX3c+
t+axQpdKMsvd5YPF+1AmCMRAWECR6CwEMLOTwokGoybhsu/ayAWtu9007u8boZMxSLnQ3EHP/3RF
+VLnvZPj3uzajOgDZtzD0O2FDNOs6hDuZzx0wLKIaKfSwUwmECV9pSbWispN+BWTX8le96YFE+7x
c7TX9pJnIQfx1bsi2mWH1U9dMBWo15mQ1Inzej79GTS4bJxSciYFAGv8DDrAML0qJPs6gqBlBJ+f
hImn3E+C6tPlHeYU6IAFwIGjyCxUQFgAgjw6Q2XLa0qqxY0eE0jap0FyM3ql6YIL9xdmQTgnz1KR
RlPqfBTuLXpYNos0ch3jpwvK6qaJgTu4TNl8Lxqw8U4CxA0nFIPtGUeO6iKjbsUY6s1BavQFDYnE
wY4icy010WwaJzhuTbD1N2M0IsOSWmQ/d/WzDjYdyoEAnRoq4SsWLBQs6ONi2OzcDNWVCG0rwBHq
2AcnALisFtEoNCehQ7kNWmMISBhkAZTz9POUYWFnVWEmRLnrXnVKKfFkYTaI6iYB+xVERFQz4gTH
E4OM0xdhYxQ9ANckGTCdu9yow20dZtczQG2So+PDGZ5TRwK3p4GDCZUnRplrRkXyaGYYZidh/80Y
nkZ59XTpThp3av+5y2Jy+ZBxno+nm8rcNoWuRhmYHP7ujQEXgyIE3v4kJPY1RuRAOgxKpIhkzyoB
y/ydHbn216QXxFKO92BcEzqhtEyGTjGz5N5slNow0pgMk3ZY9egbep37y+vkpOUI1WCHlk30zSjR
+qnzxFPcQDXTAftB4lbfaMmj+qE8Usk2ELqKAXy8JTnIVDF/ihz5rOwn92arhxZa7nFaePmEwX3R
rD53RRsTH7P8mzM31HNuahJM9GTIcTOse5NoD8kz1bTEZKBgAwUL+vCjjTUTc7sSFIYSMjfZVWoN
/uIIVa3PYhbAZhQ6h12jKDC2zW1FTZRPdoco4uCW0SH7uE8BGKh9ayKgTvmFqS5aRT85bB8WAXBD
Pky7W0yVXS6RXi7QniJjML1SFjDMN/p4vripL3pRnH8vagvtbsjMYfgFw9ynHiihgJBFa5WQvD2U
zwqhA2vq87IExhGYcfHE2tltxtijX3TzxWqz6CdDgb3ktXoFSv22DACkvlUKNzkMYOKYd+PX+kbk
JyyNHBVewzIxDIusEqAktlISSeB9LHOKVcA3zEAt8FofoJULmmGouj9C5m6BUApISWcomP32jDRs
A5iBCAmNPSRlzChbZdIXVQzbfSJ7SfReQwvLCKHKIVKBOwf1UEt06BsFBoyAsLSaa5VWCrTt/g6b
N+vbGqi+4s7f6S2b3NCwYryWx8V9F/UTzpJbavgjpNBxCvR9T79qWiudVc4F0jx93GMw3dNTUNGH
wujCswMxVCrN5gB/z9bYKY8iNAFSeOvn8qAQ6wpNQzcCkxJlbyMtDsh/yCKwNhAfopJJRWigNHa6
tlmuo3pQsTancUhrPTSh7l2+Brir2lhgzoSTJ0aGEWNcrpOsuqE83dlSvm80uRIYOn8Kf6wFVQqk
7RqySsbSuhTSavc19g9KKZkf3yU76evqmUF8DFfB/clf1U9b9M+3Jx36NONiY986p3qRUhB75c69
ChiKYFEiO0yuMK5K1+UD1rTUfynO16SuXRvUSJc/0flTg+4cipJAbID1Cby/p6sp0qwxiw5pHlWN
1L2SgDwr+qHdgg5SIQ3K2KghW24mQotzF/fTLEvsoWZjLmG2KIFa8/NaNp5lf9Ik0enlxWQDyDFc
K5RGj51R6hRAasaQ3gHa5K3hS5glrtVrQd/8uLyLNAywF9vGEDuk1GpqEqshHL0OkVehUrmLF8zT
R7TJaeQPml0/XjZ4lh/gq9H5PsqHrukW24YwzKHEjC9W1i1f9fIxkZ8u//3nr0HGAPPgttsMKHEA
CkmJmikBimu39oDdaTuzwqOmuBOzn3OXhNo02CkARgFG7dQR9aVvBn1GylO1gBJmfgHLlxd19sCg
a9pYUE8tlIaKioGBEapRVfJ0r9tV3z4aWloqsLk4lr9UYak/LmM8SnB/1CH0XRnLcRZc/h3cleK8
4eCBPgszuae/o2/yWF9q3Jv6srxGrXEz94kou+OdL9Qw/rXBBMTCzNdOjVqM6mig2Z4f6ullXQWg
Cf464ICYAqQSFczlmPWrMUYYSSKp9d1KviS16INxwzrQ4v9aYLywGvumStFYxLM6eywwBJRfmS6I
hx5/AUF7Vuym3rGxxQRCKZTsLsp6rAbaJWBsgLIAFWZRhVwKvE+DeESnJjEMC+WL08/v6K0ZGxN0
mpr0uILUtC4hePl+2cXOX+9YzdYIc3kk8Zr20IKqPhoGnQsI8lWHbswMbY31W0EkIhqSEa2KcYa0
Hq1WyvCpCkUnavXdXEofZTvBnchzOYxkIhHD2QH0j0k569IyJ63BEdai+3rVvX51/P+wc5ZK6Q3w
hMWkAhOHpG6ZmgV8L2C6mIlCpsYd99ouRNSrril7cLmb7y+b5C5qY5GJS8BuO0kjY1HG0vtTVHlV
KwlKYNx4vl0VE3NSKHKXDgXl0ncCpQnUPhVeDzESPYi8+KgLCmI8b9iaY8JPPDTpZFe43ntrJJGs
/1j1+lNtLgIz3At+E9GZVemNOndVNuPd332OrfioLEmgA0nVaqKhRN6CtncHs6A1XZVQn2FJVmYl
yMboMVecMlDrXvCleM6wNUR/yCa7VMx5XCcHNzt6tG6ef+6cr5e9TbQSJjJIqSaBCZfGOUh3ZzrR
i6+hKcqRuf62XQYTDipriOyW3j/mg72LrigzbObpLuaXZJIh/Ijeotz3/tYgc1WYdjw4SYn4A1Kh
t8UvwScMjA/1cJUADSxq7/F3Efy3JurKDsaZTz9TrLXtpEzYxUqvALK0XWX43qnfL38qbnIOyut/
rTCRAdxteLq1Co1F9oMWFD4Yfse97o4ggh53zfMvMahzPRDNKUdFhonhSmYnx6hSu6bCTq5vI5E+
x5heKby39n2lUpNHsUoZ354BKhnKiHeG4J/iKi+VAlUhKdHdPLtJ5E+CbaRh4Cw9R53rHwuMy2tG
n03mDAstGd7rw/J1vaJskMDMUWnUX0CsftT7L1lk3H+09E4LR4Rb+QgAC0SDlJ2Ezjk+5OHy2rg5
7WZpzMdah3QxlxhLk48AARzHfeuDuUs4ZsnNJzCC8+8WMtmRYvTGkJuIf+riKbpfQ/Jm3iuPRudO
b7npyteUtbsS+L/AM9hHYlXWSq6FqFDOw5MGRZp1ysnl7eMe45/LYiej06jLwe+HA9bGeHWkenKH
OsmV00aCK557UW3sMAd56ZQeRWo8brCgB229WjrHzbXiOJitIEMSWWKuRCuTM7nvgGi0U9s3G/1z
W4ZkbCzSWYVgjlj0eeifb66qFAMmID2A73Xr6rbNm9kIHhi8tWyzCOYuDFMdF6GGU6Q1eyW8Ksu7
NE79XBF5gUqPI3tct4aYAFFFq15UdV6R8S36Rq8PDF9DhAZdL1pKxaxZYPnrleXbd9E9JcSHRtEt
UDBP6ieHiIgeRL+FCR2SYUSLqk7Aajc9HsJOvsqeHFr2E7LV/GBO5fhg6Hk++5dPAn+vQXuJ1hBK
8zrjN6q1JJZZjjDbjnnQD5l8QFkXI4tzXP8VgYdVhJvieQ8QhABq25SUiq2ZFHm6JkOypGQs7f0y
LRFZilJEE8mtHG+tMPd0aSs94K5wIYokXDFJ/ST5hQ+uSIny4+8q0oBK+iXf9R5QGVEgwk6fA/7w
DkN/G4SYaIOBGYR9sKzjmjQgq/q4COZrheREUvwxv6EDoQvkZSAtXpp4VAhB/7zQtrXMrDydzH5J
RlhWnONaVUSTn7PYEcTPc+Avsz4msMnQsYniCE388rq+nglYC4CbwUO99rVj/tjv4luFcu6jqSkq
7onWxzhsrk6FWizAK0iDfCNZybVm1Z9rEKdePhfcm2+7j0yUM52+rIesx3crFr/QRq/oh2Coxr3l
gC0EvN1dHrpahAC7AlTWGbt8MIKy/WplkeCu50aGjS8x4bC3I13pVHzRsDEPWTfeVsP6MCSAIOvY
8lh/Eayc7uBZVNzYY6JipEetHslYORBfgDL4656Sg85eDQJr8wq5zJ9uNRP6UIl2wqT9OCzjQc3A
lu1lP+pPra8Gyo3yQ+5d6CIqoqkA+gEvLZNJoRKz0u3SATDQtIZDZzeeuor6/tzgutlJNnvKwkwu
OuykvERo5c7uOOukKh0XAlfun301Nq5iHlZJshXLGYNs9eZryszv4AYbgap0aeXnPz29NieEbeva
SWaZFYbeyIyRJtNLg2L0R2DhNb/eGV86EUcj93thGAUABpA0Y4jvNO2IxlUfMwULrIfFwzCaW7ah
aBNFNhjXH4YqUeYG14a6swDu9xXq+g/L2+i3bhOUx/JGdFOILDK+388QWzJMhLOsCl1Q6SCkiJgH
uV642TjG0Xsp08uFzkOCgQvXeuyv1avcAq6ciPS+uLF5Y4nxd3ts9WaiiVurg7CkBK+Sg4HjKN1f
9nXBnrHvgyyMh7oosKDGSj0DzC/mb7Ou0evt50LY98FoQiqyzs0aPbh3a3jRNVGMFS2BuT+hwDBH
aSHhsX1XvXbfoGnrI133FKAO3zA/Bgl60/+zTWPuzdbMMkvq8G0G6b4asW+gqbhsQeBnLAHGssid
GVbYNCsDY599bbbfzawj0/zjz+xQL9y8P0ZcxLU5dwDdLcO1UoNJi4rnRoXyXIVrJ1iU6EMxEWGW
5jCbM5zPxnyus9BNNNHLjW/BlEEES3kb2dmQUukVMGjSVLXR3AmWtPD18obRDTm76SjHMYh3NHCB
MZ/eCsfSsOnVsBpvdRpUCWaFhaMKIiN0mZuvYg1mF08Yf/vAiU+PVjD5K5l2jdd+78gCxXRSPcUv
lxfGT9I2K2NcIZE6O+917Fn4MvlIsgMw0faurbhS5lJ4SBVIh6XeXbbKzcc2RhmXUIveMlvw5hBb
XYg03i5251W14baqTNrm8c+MMfdDM0yTItH5eTML/UEDx5pm3iMfJGEpPRRG9IeuwtwVQwOeakmq
UhKN0leIN36BsokFSqpaMMRwPin5EWF/+iRzVVjWpMw6xBLRmNDezBf7pkXV9m+fAZSJdiqq3Xgl
g2TT1d/i1w7VViAVSBY4RJjqU1v///nA4Oap68qRXkfaiN+iFrv5s3kcdjFSp+o6jNH7sQAgg7zR
cG3ul73miib7Lh8bTNid2l4wo6XKXQ34NYKLY79pdbJ3su+XnYhbJQf1x/8iABQuTq2U6HcVhoNz
0kHpNPYatATlyU08Oqws78FALbDHi2mgfNChFAOUIYg6Tu2pixXGYw+iG32nJG5/l5LCa0h6m9+i
loyZ0Ek8ec47lRjHgkXoxoChgPFcKQmdUVpRahsD520l8ef5OfElwBoT6AnnbvFMc2Dlr/goog3i
VuuBXgCeHWgqoFGZIBTZZl+MtAWRvSa3M6Hqwm4IASdUtb/lt+NtEUhfik+Xd5jnNrBkAvNqUeUI
ZrX2kOZznIDotwhvq+khh7zwf+nsYmYaE4sOJFxB2Xb6DfO6lhozXVCFgy03BxggGAZV8g19FOK4
qP+xJ3Bri/FPaOLas6JSnqKHybc+uO/AU3RLKwi/8HChAfrcGlCT+BfNDpOJPbGytFIz4oNRViQV
Krhl6fbQ2aSEWZgDggZWhGHG4/Af0lZwg/xj1mLCzAAmhk6DoiiJGrCeaGAzFmX63GOHFAKwUEoR
wH6yooujvpxlUB7MYMsa1h7yzFN+uOx652B2hG6wm6D/BSltGzRcp45RrykEhmhtrYPElhG0T1rl
SuCWqG7Aou1jTGBXYaR93BX3qb+46Ysok+X5vgMlXEwfAcMP/bRT+2aZLINFM9lxnV1nnH7YY3Y3
jrOoQMA92OBFhg4QKpXAuTIXfQRwV5QqMPQxzQ8Nqn4lOeU8WT1Q8hAMtidPuTeKMDy8r7g1y1z5
WptjWIcynw16tTOm9UqfkmfBN+QduK0NJn5YRjUv44jK9+RVrz2mCMPddKQQ4pSU4GWmotCIm7SK
13v5g30lFt7gfkWdxk0VWin4jKdfMQwnq80b1LuhzUh0AKHW2dxFIkZ87l4ihEF2DlrfEEI4tWK0
oKSSSgtNxjFFF/WblSvB5a0UWWB2sq3txKx1fK26MNxyBf+taHBD5cUrvAyANKQ8ShhkPV3E2LWJ
Htm4vcvr/hC+TjfND1D8++Ed6MigoItU6aW4sXznYYFXIlZXMrSy2sPU+JJQAJa73J+/hX17Q82y
TWr6WhljTFgnqSebw8vlHRUsl318F4s2S1kLEyCz97T4y1IX4LQHmfA4eZctccv0m511mHun09ol
zErsrKNAzjJC+wf46+QrRlsLF6wuRg3cFFWQjYzdIArW3ANAkzJIr0IUUWO+amvLc6FIsL1aL0b8
BXctNA4E/Ue+DUCjKcMcDgBzyGKDii5psKE0pDMmd1iebPWbYBO5sQSvyn+MMGGy0EtdKQu8/Cao
AQMy6q5XNqihluCjECi4fehxYu9uTAP8a4w50NMUdfagIXAZUbJ4Sx6mbhr2x67F/xTyvDe16hVM
BYKWJ7ffsTXLnPI41YdZSdDvoDgqukbKu5E+Ydoi2elPFJchu/J3RXIbX5S80xWdrRgNeIzP0JEP
m/FRuaQwUQsvQKAYXbn51i+HUQvs5MpQReoH3MO9McXc7MqE35DSwlqlpd5a10FTi7JljkeCQYXy
koPwDuMjjNfXRmhas4SxYRQKr6s6OnTN5MuZ+umyU3JWsjVz1n8bQqXq5BKsfYp8lM3sJo970QHm
JUKgfqIFWhvMjRgiPo3LmtyHFai7Wwzi2x5I5m4nP7lSAhOZQgh6FircTrtg9l12390nEMO+vEZe
fgLuHRATIoeloEjmLFSr1OZ1D9rAyZv8HtVDF05yO2OesHX1fXdofgGu/QGeZ9wRs2O4iGxKQXDG
wDhZ6xLZdQxaWV/2rGAwwTkH9fju2/ohtqrea7vsvsTNk0KzXr0DFRce7SA7uh9BGgC0SCDi++NE
hO0PYj91bE6r1ExgIHGcBIPaRfGWpktHOrMY7yHWBh6iUE41t2/iWRAVeE622YoP/9iUvIBQthul
wFashvxaSoZbNZbABH9xugpKKUzZmyzWurEkSq6SNqSSnUMZz9+huxMYdfwlVdfOcxyg8yNberzs
WNx1gTgOer2gwT2bEAz1uLGLCJQPsdIC4PZeYn7isgVOTAOH4E8LzJUxLfqgK+uYE3sqXUDt3R6n
06mB0xpvwX0qsMaLOVtrzDlZwqk15hlhbanfbGRoZZO5djQKrPCSiZNFMXdEnbZR/CElp+/G606+
kT2t8OB/yt7y49tK91p5P0Cw8igmGBSt8CyqSqs1tTaaVMrRAgVXbIxuXUfk8lfjTR1uVoj76DTg
NXiVpK0C5pEF0355MH/uweS5RxO6wTU4e9E9RkjT/pqmof8p8zwxzjz7IJrUy06FrzgkkZt2t1Oo
CgIq3SU2tIEtCcyyoB+h46Ony+tspUma6IPhUgvA+wBKL2nXCilieNU4DElT6iJQLqiY4Dy1o0m4
uqQZrD7xoXtV/Wan3ud4Uy7XvyK9yTtqSHExbgI+E7CCMK4xO4tqLwMo9hoVIzxK6UraHiylbmrf
Lpp/2UE4gQMDPKCZRsUI//24sDYBsVbjVl5WCc3MuMpuzLYY91JXimBbfCsIhwboOiBOw2yf3kSV
o6thRuz8Hfg9vyoagSNwXiCUfgyyrMi6wFDBWHDUsq0tGevoi2dDLf1FKtCX/VzFTXB5w3gx48QS
Xetmx6RQB1eQXZREuyteRxwmjH9+tfz5OBEN1VnwAewSoeYldwM3y2PyFmNOcNloWN5S9u5cv2ft
p8vL4vjcyaqY8D6UthNJjZ2RtVL9tJi9YnwEddhVkb2M+etlW6JvxRxaZYI7YD0NEF23Y66DAuC1
XEyQ8Au09Xi9ppNFMeEdlEvSssoGZfcFOcvt9BKDjT58AqMxaDGKu9AT9SU+4gATj4AdA3cbVSUH
nw/jhnZb2G0bWZjNXNzhPf/LCVYw/0Woams3AxhhEpTaQhcT5sCUVc9/w61Erw/ey+fkRzAeuoZ5
2ULuBfTkFdK85LG77dwR+gIq8CWS97Z6BXbgS/+oZt5yJYIGcSLyiXHGU/VcDltHh+gf5A2O3c7G
aBZmcX5f5Qqgku1GM/46hzkCio3OtQ2qocT8K19rNxYVivgOBJw7EnWw1qOCeXrWh6U167kHIkIC
6hAZe+y1TyEeyqbihk8LyZEzi0SnOHkBFvbTJHNnxosRjbMMCaOof4uql2hcvDpdBYkP97RvjKin
62rsbiigSwhuTNmBlsGnsf0+5Bhuy5+L5fvlw87LQE4WxBwJc251ZymyFg6RPK4gUPWKh/K7doVJ
BQ2Mip7hQYa+jYA7rASZOO/WPjHNHIQ+Ag4vzrGX8g68HECTAiS8Sz9RtbD2RdR84YboD8UGtHfw
zGIcv3GG3LBLhGhHfYcQppv/h0kt8EEC5IFBDyT67DRibTYYxi2tDGovtiuFLUop3U6bf1tzip4s
MEWgAAvhP51dx2piWkapQdFqxIXbLccwAazQ+nLZK3hXgILnN8QzIGiO8cdTB1yqLI6jRMkIykHu
kmugRcpIDg45s/h82RLX/8B9YUL4EkTo+L9TUxHUknqlwxCnabjm4kJ4vrtNCzz5gX7z3kCEMYxu
mR2Md0RjceJIvZu9ELbWmTilxZSaScsKkOljRMc10cgNiUnemsO4K3ei4MEb5oIu/c/FMldrNBsp
hlmmFmNIya0RUGO6Ox81SHH3OGEiKBwvjmzNMRdsrTWZ05UxiN7qRroP1Vb9ERpr7MaTpBAltZyr
ok9FhDH0Lz3fUhAjgR6SkgUwHzTthrJGH6klhn3XOwD43lrm3YSUxZhBJ5Qa/mUH4rkqmMj+Ncd8
Qcyc93FVxTnpJeVpaF/aOb5pNWAcxh+XDfECiKaAvAQj9ZB+Zjv+E4SqsqJ3UmKNS/mQmwkyMEBR
vT+zwoTjPmm6Xp0tSjBbX9Vgz+0ha33ZBN8LUeEBjxtqbEB/nh45I+myqGl7ZEETqZ+HXeT3bvMZ
AwrvlIqv9kSjVbzpc9S1fhpk/LBb0iiU5rz8KKt1jwP4Glsf9Jre+CLyPl4J78QWE7qsTG2yssCJ
bisXlQkNkQTtHK/wxv8j7bqW5MaV7Bcxgt68kizXVu3U0rwwWtKIIEHQ+6/fg56901Uo3MK29kER
iuiHrAQzE4k050TVoWAAEELJ7F6VVkmtEJDA2HQGzqYj8o04yCozu65ZTFe0NrRwDYbQpDpm6FSj
mtx9ztzrSJJwaQb+OC6jA0jKZLZQlEwWuulz1Hxcu1Mt0PwXQ/nQSnBlDB9yAlEYI7RpijD4Ztzw
uAxW75CaYdNvxp3KVuRe9iFScOdpySigP3AdQKnNsLBotbP9Zft/H1w5P0JAjgNR1sCUhWAia4bh
jIAgLLbxBPJXuqF3wTYIS2xpZo/OFqOjV0CUz8LiFYh5A7BbAiBr1TsQ1cTr38XLH2zAwmL//Tnv
K5BHL9ZyHo1kXVMa9+OrCS6hkpMi0d1lpeVm8yFEyFvp2LprNsMttPLeGu9c+6c2KpKGc0h1pCbH
ighpKyV6G3Q5ZJgPehtWd+3WxNIm33FEIhkar+1euy15VYY/toxN8uOPVmDB+oQpKT7Dw73kNLRh
SUin1EeQrtL0d6IvX4wGGNqXj1JqohxSHdHT4ixgpzLKFJOKTd8z0PwM+TVg0/obkE2SViFGHslQ
osYIFpCQwL55Ksd1kr7yqMtHzNhdFUTTbt5nHHZiQ67Lu+nAQOCrimPSjOFIphBdeoPMZpvA/boW
jOS+DegY5KL7rtNBdrAC+kc1+6LUUogxqTtbzlTAaHo4o0+xDpte2c9FiFg6t6G+dfdaDFKyWTUT
wi3hLAgcaSoEGstpF0yY2S1QSvi0Rr+fMLmn3veVGgtiDIiokE6joXj6EVuM3ExWrdHYAoVD8Ber
O8VtLnXsIwHCZd5hXLDWSVoAaVC/zo0Xr3GB8hxfNnm5EKCpAdgKlUhxojognWmaQEGJu9z7vWRL
ty/Gob/SaaLqAEkl+Rydjr9zLBHLNhvBID/3CWcQoCHru59rqV3PeaC4A6SfhWMgm2BGAN684Fvm
Ong5kMUxhL7eujoG1IiqlymRYAMw2uZtPQ/b/4JddxMwiTqWNTHAQr7ao/Pc1aqYLvMd8CxxphwX
FEhnWQeGbNk4FYzPCegRxkLBt7C3wF0RmUBK7L9W303spESqbWXZkw04dwDF5vDbBoYtTm16WDDB
j+EwTioRWyQeq/t03+20TfPTc/hzzf2W2qgbcHQK1YtGqjI+GNDpwFjHiRhOZY9GmWTjmjIMpZoY
jUjveMt0BUpwstce6kdg6m9VDXZJbsdh/f4VKWSvjIB+phhRxzLpHPpYa+vaexp8XzJFPVRi+pDD
00cbuzJnU6/DOC8ts9cqxtFf23P+OhTWtVsRRcCQVc2AEv3OmgF+RMDvnR7h5NSjUWl6Ea9DyN6y
vfNKwV81fB833gOvBTpflPwHkmB7IlK4Mlu80dakRsukj/Nnm0SzCVsNXukVBzPJouKtiSdk5lO/
AePgiyqnlOWxEI+kzgSrBJA2BW+f1oQ0QWnU8BMHk8zTDo2ieE4BatLdlBuUa1QmI3P+Y4H870cp
HUvTBfuPIO2ychay6TXFhuLliKySIPhgGRQg4TBoF1bTjzIAep0qfikPTbi5xiJd7GzgSPGYcE/T
bReRrZFiVhOPxsfcCcmVKvmQOsDRZxJ8Ox2QdAwrSCuahO6tNnkAKe4LYSoICamYAOSJyN9Qg3YE
a+j8gJgdA3EnQBFuUWD7bSTTVx8L+5e/kEqMYANp2821ptMipoygvv+m9aBuVa4i8uAjpDFA2ce2
ATYRMFIuLqnmeeUvXWMVcULT0EivdW0GN+OrlbyS7nfqfB7y6ESaEDqyHrd261cNSvojep89VmJT
5xeGv1UxSpKHnggSAoZWZkXmlsDtx+7tXX9jvfus+51ionzcBKgFunvArcbL7k++2cdpCqbRdFpO
WhOpPWh+Dh0mGUO2dmVkOK3irSS7UzjSr22jD4V8SninGCAoxesEPaB8qTfTeDPgKOsFU5nZ35/X
6EjQGc5b0MzgnUNCWAa3vf/YAtJ7cBVIWwplfMEqhmwiZeHh0dVmqHyXVsyG52EJQGChuv5VkgSz
cPSM9IOOhg8qBOGSAk8u2LBxjD0VeNj7o1v0q+NzEyxhqFtjKBakbwXAGLSQXrkHa8dZs1Q7DHKV
0AxDexxTBeLoglew1NQc9CWSmh0a/+/eJjfAv75tCuPXn5jChyQhIA12bRX9CEmY+pgxswOcwajJ
uu7NajvFlKysx2kDEd8Dn5QLei4xRUxQeakHref8LFic70L/Lc/DJg0BAshrf+tmMqMyDbM61J9b
wOYpr3xuc+ff7+MH8GM/uoFrsHcltYtJwvwAOCdALK0gXGhDjvOllCULVsfKCvcW00aQqiRzibpH
b4YjXpPmFPYLoK7j5Nd4NW7cbb1zWejbuwBT+ZoiFZDe1ADdwewLVqZQchfk12VRE2+AV2Rf+S5a
uU033qP3PuyQ/x9GoyTJHAZtLGyFASUalEyCa9iz26/1hBd7Aeq1btfvObqnujcjOdUTMYK5Jp2r
UW+AGK+6nbL6mupXuQaMAju7TlWPaNkRngjjl/mRuQRWDgoGDHzF3hCu2/5Ar94Hrr81N5wEO9uq
oB4kXn8iTzDPpG1InhboWow+oOb7r0l5064mBpJfL/u8So5gGsPsTZXV4RBLAhpjrDEkoExmwJah
qmcF/xyCw0Ej5CEu8qpzQt7OWtvB9ipgrC/mwUqMqzodFfeMrGEMukRg8XLQUvQKBW0cz1xZ2mJa
btzqEVtD7td9OHyzfoPI50n1apEZ4LE04d1HJqzQuQwgKrl3MAMQTyce1sDw/EteqBKBQZItnqgm
JARgbLWdgu+TGv3TUIBLFWjeQauAAVMIESvNwBKgjk0w1Ngud7VNQ+ICqz5T5W4qKUI64JmkWbIJ
X8lZ7pwhMiMS2dX7bIv97Ows6/s/7Kwql5IhVKH7jiYy1ujAuiTWdPrSTufKwREWVoQ3Jt+k+08o
ZAf2y/JDBjQlHTgaI1Zms3tVHV/2sMYPCDACzTlUseR2GkRyvxuDkrNfYlw15gXbOSRxe80nEQla
n3+XNPwj8oEToUIkSfWRmR6BUA95kA2WitpVbJbLvicKZaAuwrQo4KmFeM9MzIhkhGGWx3YxLBVU
2xU04qE7q5IuyVsGC7gfgoSIrwWtUwMcEZxhgYbNJNoE3gCIuATP0J9942W73iJF84Tspdc7+L++
qNY1VKoKX1DrW5BkphqWgOsiyrWdb2NRUcVdpxIifDEbdR6HpEjJqfY69VWYLy9sUnwz1VEKkZK5
LVYcWzzemTGECUhoPKOJavcK6MibMfs6arvL94ysJnjy7YRgORDmLx7qSrD9csQCUTjMMeA6r92Y
3NEvzbY6jGhdgMGR3asyaNV5CqETwwxAlvenOq57MLDbV2QFGof3dFlBqRAM8PCVdM4GKLw8WF6Y
VuFjkrlbDxiiOzAQN65DoThG2SXqYIuU71EbAe640wjiLSRpaYMUHZ3PsCuHaPCs+LIiMhGoZmLL
HZO4CJeCibtjXmWJheg82D5GlrMQnNvbyyKk97RrASQImT/4DMV9w5kVZaUzFIjLG/+qfgdt5eW9
FhxuRaRCJpR9mWNhwpdJsXvezhaENbMGGPj80IAzWnm5yBKpYylCEATv77hg+AsTvrhYNA4DvzEx
K/Ej6EJj56A/nG/S+7mMmKfI7qXfCy1ATPMCwNgUV2J8O+08J8GtNlqR62qHyewOlz+X/AA/JAgH
SFDfRijN0LZdytAgyHfKv/NmUKQFMj04nwwQFgIQXr8X9o8ybFaBqaHmyG1e5kSNSaIBrH6XFZE9
TDze++Ve6uEiOfWerpypS/ib3d7xhwknBeX1bOU9zw9ETHWP5Ig1t8Qw/BGjNfR9nMXGeAnFqzYq
wuZgo1lpfb+slTSt8NA9BDKAgQbB+9vl6OTMtqW9zadc9asBpHqb7GoG7W4d+QNKsbzNUt42r5MK
kFJmFcdS+fc8ktr3pOuyDI1L3+38KLXqPTBILKAOVW8K/WSuha+FhXIXTXuwoZ9KapOxbm0LtQI8
8FjkmOFfmK7duPEQ54/9G6zEwRNMTZMiVfBIrHBjoa1TJ64NFKWOdrdL4rzMnY/luza+rN67g4rW
wjf7HI6xx/caT9Xr7aUElDAazQDZq/YDOH85/0aZR+ZVdcc2PCfVHsDBCsJtDAECKSNuFfFYpunx
LxAcfCiSpUkttIizYtrWzHvscj+kpa2II7LeHFT80FSIkUAGYI5pYZAleKJ3awx8qtvsdsCMY733
nwykwS/dj17Vx5c93XHLBAanYcTmzxlER9UZXs9HPjgVcLZZfxTZFjCN2PYww+y+cCOMYV3+pJJQ
hooWB+oA6xe4hwU963luJq/DLJlG2N5zmm+zM/+6LEJ2lpCBQInyWQCKE0FG79dGU7Mc1Y8B+9Gc
ToqQkOOfe1BtfkuuuUuo5lPlin0I5X8/8nmvBsHrAp8AxG1uhvOUvGWTvrmsmUoGN9YjGQacwQGh
INoiRbbP1zxsgc90WYTE3k/OjgecIxF52+Mq9RIQrXqoPDp3dT6Ha6qwdknUOhEiRK18nawxGQGh
1TlOxLccaPXs8fjsKbxXFv9PJAmBirQoLzIWFPxZeWO7YbGtogCVDzvusSU/9RFmcxT1W/7jhZh1
IlK4SU1vwHKHjeBf16iAD1OYrni0J9a+1JFbO0ShotQmMAEO1gJM0KM1d/rB1hmbdgkbUVEsHr26
DXtjiP/AJI4kCO6UMUacYeBzYY4eV2AuHlMaNez5shTZKwgjRR+KcEWPLM9eXXA52lBkwcTbFrRv
f/HRBFArfik2626IfYT5dpfGmuIAZbWPE8GiV60gdy/4Cc7bZFeC5VrLI9cD7WH1wneaeH3W+zKA
NmHOd7Ubqfrdsq07yEcPA+0FA/8Eg3GqUmsdDyOV3Ua7d25w1dBNvR9BcdzfAWh+5zyPL0U0KAKx
1NE/pIrQKTp1mtwvsACxuHCIpt4YZfO7AOPx5c/Kf/yZNxyJEW7wOS+YZnoooiZacSABqg6stK8w
zH9lm10Zpka5a9MpnJtBEWP+iz39e6wimoo/LVajrbhp+HDceqgPxk0Z5/d0R3ys5uBBsCcb7Zf2
RdWJl8ecI5UFf3HTLmm6BfVp/2X+6e/qLRooGM1IMEX9zl4S1beuKgpIjQgTZph9AQiCiwGVU+/J
xqDNaDehWH0zgjBq2PkIPHPUwYQ54KUTeW40/l3s6ukP7OhYMI/1R2475dRe0gDTYDPz90bPrnv2
229nRQzizi+a0bEU4cYoRyx15V0Ba9X3jQlETabqBPHfeUmCcFN4ld0aI8GYHrBbHvPl6wLKOh87
8mD1jC67hGyTEh2Rj28lOPxIBwcI4/hW5oOxXWP6YMUWRkTm1+TAIv1Q3Xw3txPHmgShz4ZugeOy
9GGrYvZUHKktLABOC5m1lOFX2PZ6m7v+F1urHy5rqhIhOD/xSoxOe4isebIDOlPYmIvC+mTlEpwl
Z48O+JqwmE+6k7vkHQ+e47Z8ZqDL+FmE1XP7zmCuCpnSkHIsjOt7ZOsO89NU457NIU44i0JRXwH1
cPjOADHHwQF9tLvacR+Aj1thNPKj/NBT8O/K7vJALzDfQ83bRGuivlDNqaokCI48jHq65gayZst7
6ciCrK/5/34swYsLr+kmo8LyjPkwwuTLLdlikiw9aDu2xcX+67L1yW64468leDRYof3RCGAaYPKL
UhAUtBiM/bPw9/FdBF/2aQ0oNL0p4xXdrdTCWg5gzQMllrksqTzSRbytK6fr7AHjqrFXk61u7FM3
CA1tjIr5zUTf/PLBSZ+Fx9IEv9UmrQHpdM6z5umr6wEIoNn5sfnk7Fo3dL6ae9UYgPxTgYfSQQfe
PhsrA79Za6YOd6zqOhm/ZygG4u2vcCH5GX4IEbw3Y+1UFBUMvE7ujcnE1k+xNdo7Ts1L3U8PeyEY
Adkr4A/QwBILF44+Fs2oOSkWP+dwMfcYoYy0QvV+P3dZSLEhwPAAPwH0idN4pBOzpv0SNKFr0bsp
6zb1YqpmGc9PDcyqHEADlTnDx4DtqYw8G7UOj9smdOzVA2qMoc0PKP+Md6RK5jTK1pLBThwtWBUv
UUlKY7mAGnAx7wJ4kjOsEMOYe3syEoJosUQ8WiTfs5f6miO7gIR6S+N98lh8U5g+N+3TNACMnqDD
xVYAIEPO8M8BJ2J2fsna0PTy7LCYq73XV4Kq0+DQ7bIWPyyr+FEYHdtS2mvhBOjtZzbrqvF02ZcF
BTt24tDNQPfQPD31pXL9zjNAAWJmMNTGCZ1xc1lTqQQbGzJwOcvHEuiphEQvAqMqC9yUTvaFLqjC
dq5iSV0lQggjg98gGFoVievgZzrvllRFzXseNvCxjnQQTikx1gxsFRAACPLbJP/qaiBLNVWNJckD
8VSMkNCP5eymDXaB49zezF8G4G6D5+6qeHJz5KHgKdef3ND+trphFdf/h3kX1THyvx9lHQk4qUuS
1zhGh0Q6TWOKMcHLxiDJbE5VFL28qKZR5yoWh/wLeHYAYuNsjf3SA8It4wXBNiRzbMbLXqvDTpXc
qL6jkHq0VbWgUd2QeKrrh5SY3zXN31EPIB6X1VTJEfKPzG8XfchgL5rV32JDYGPn1q5m5OGymPOn
xOlhCokH2Lq1dupxmAAg2szsG62wDo+6Y6EqXcgs4zg2C+dmtD5x+m5M4zIdYg8UJ2FvVc+XlZHK
wLon2mi4BMCUdmp9LWGeTeoV1FlF97oATrb1AsXyhmRgFHfMh4yzphDz1yWrnCasEoDvO1WGQVur
TZ+cwbceML+2Ptc2YT/BKLg+p4OD2RDL6D8/v2AB3YZvkNh8AMUSvDxxJ7RtXApOziV56ipyGwRz
5AeVIjOQnSeGTlDoQWEaIV7wNKxzeEY9Uj5HFEzOg2syom3znCVMUXlRWaHw4RhCf2HqCBuT/pCb
Xxj9QbO3VDW/LFPnIwQbIgjb0vrGCiA0BCfSxYWthbWuuJKleoAQEPR8HFRD/C6e0VkdqXISAyBw
04xsG/hTDwhe63sxzi+fN3ZAg2AMiuOFIeU5NXbwBQ/z3Jb4OImtpRuQjeaPQI8ZVVeKLBA5mHQK
bGwduEAePZXT2ZntjIvfhLY3Ita220EvNnltxpfVUYkRApGeMEuvDa8JDVOLymXelpm7ITM7XBYj
+0LIIgD/73ObDgRt+hQDr7arNWFTtiBS9NZwzvJtni33TaerKHBkOiHpRavTQZULVnF6dFPmelWg
AepvbTdLhZFhv36px/7t8yq5YAI23wuyZx331B/LAWvSPHUZXzRgq+uZt08sDFZl0x/YHAKP66Dx
bgJTQvDTGT9htgBWF5vlLkV81QzVG1X2fTjAX8DzWm7Xp0cG6ijTBWMCia3OA+YBhqaItm6dVQvM
/aTTdb1qKmD4K6xCGhmO/Jb//ShtKcGhV7MFt2CrY02jM9A2eP78R0IjEYi3AJQ2sHFwKgF0zQ3N
Fo2A3/0FXf6oSAEA2aVAXVVWLvhHOHsWoJWIQRIPg9ui1aVDawHzlOEIw+Jg/q631nV7nwJYd/ne
X9FnC+iyy/V6CxaCH0qoJ5lsDEV6fCffBtQ094ijgxw4zuU6IwD2cWmGA2A1rznXQQ98fLYDBaT/
XAPM1s3C6akqw2mvQvaVvQCP5XPzOpI/m/rU5AkM1CmcHS1fKfpovb0hDXa+NUXEktTzLD4B+q+y
QizRydA45gBliwPSUG9b7dBriqsRgwzojSvBB2WucSxOiJB15WrDOuK7Jt2ba/7lJ78azd2u5aLQ
ixu7aD/HcgQnD5wWE1YL1NKsvwP6u3AVTUdJVEQJAC6A1IVjWwk2kq2sy4KxS2MjG0Kjd7eeVWJZ
Kd1e9jh+HIIaJ2IEU3BdN++7PkhjVtCYpvert7WShxT8kUW7RoPZK45N8nlO5AnWUBM80vUWaqXm
GvoDHt2ActOSvzWMrF3WTCVJMAQTCMMj0IOacGXGa4/8MEz6ALnoGITBXI4KaYI54Jq0gdXNr39M
+WHsQ9BrqZZOS2ezDEvHo4e5SYbt1GeWYmRdcFwuBfk6dq8DvmGDPvCp4zJXLyoNzwJ01/w6v7at
wGe7gBU6iehoas/BOANVdi1L1UqIYI3vgrFhgEUDF5sGvsnVP4oYXWqOWqnZZei12ZWPsYVN4bRY
f01xkV7+bOLT4V0UKgBYGPYRlVFvOxWFkXHNXey8CrthQs+9N412CrEe0hXh0pTGl3XUp99dnvhm
2Ha+68aamzro6rRB/Xr5p8iUBjELBmlczwCanXDLTgUA2KnrlqFD/f2kLddB3WFbuyWGQmfBVP9R
GTe5oYNZ5xxonbZmxVYg9kZFPl/PmWGElZ/esqX/TdJBxeQq1coGAIcJ5DVehTs93wW5chIQVG6M
pMQsGzYim01X+HMRzjQlT5ePUOIWmHL8ECYYbFAOeDZ7QRlWrB4ipvdPma2/XJahUkhwvaSAFVUB
ZJTeFI2BG1J7xfKlKk2V+R5eeUgV3p964pKq1jENkD6sCmmfsSmsoNlzbhvFT8ts0izqqAOap4mw
SleEFql+AQBAkKyAzEOkk3IS25nASVqFzZgCUSLFZJzZgZqosRsVMLFClEghheFhwHUVHj5X0t3M
bg5utTx7TBzr78ufTGYWYBUAGgsGxvBgEjwLeCO+X8xaGTKnui3NGUyDjWLmX6bKsQihkuj3g730
LkTQ3r1tl7yKHBJcr2uhKHXIfBcPF2BpYucQ4UbIAyy9qdrEhBwn/cKItfNKcIVab12vwneVK/Sv
IPHb1JZP7cmHmZtjP+8SzO9sdNbUXwhKKp+rqr3HIw+5h4NwhExcZDXC8zazpgWiVq2ItKnA/tV8
0FTcA3Ij+JAiXNCLvRoOHRNcZoTSm9LqwII85OXusqkJCc4/uvCYikcFcikxz2f9XK8ZYFVRxsiS
HWBnrK2OvlFUlDoLVzuhO8Mp6LXW2PPhsmSpfgEuMI55E+i+EPumpG5ag8Bvk6nakHr8Zffry2UR
UuMDQrkP9C0EB1d4L83BbNclbuawJHdr532bHO1+1cxNj0Gcy5Jk0c87kiR4bB4sk+0M3CQK6yGg
Qx7V9bQ3iItlwA7M7Tl7uCxQdnp4rSOFAfUIh1I7vaZIx7qFLWD6Dfohwdxi+ui0vWocWeyLvluH
j4zKeMcMwlv6VEruaJMFbPsy7Arbwby/QeeYuMb6A/+b7kBttEZ9l+e73E8YdqxGGhve6IWd5nvx
PFr5FRk67Q8iis93a3hCYODldPqbXN8btGzFBQ24+xD8r335izb3Y/718gHL4gnKb7zf+F6E438/
Sulyn8yJXg92FBTafsIY1zy7cdAqLFTcff/nhEF4gFl2QBShwnIqxs8dnfUY44+cewOM5+mb9zPd
GyA/sHbFNao962bepFHzlMaq4Q6pBX1IFosJ66R3Se3AguzEBKqhXfk3xbhQRYYjTrT/o6CPlqYB
YwWmv6DggjpaZrmrHS1X7KsLPuIsRF9lg1HHWxD4HWhkh/mdh1HYbRKybR5+enb/n18QYNeSd4xR
0BB8UwPLioWTtyMs+dvfqinxQ2BtDBFJ/E7hldLPiVgGViIQNOJZKrilbTW9P4+jHY0/+cCMfYVJ
p33+xCJO6TdvBqSVmNt3X9PYUoRTuWhcsYBCwRvLsvj3PjLYJV96XVsg2n7QI31jGbGLHapHDVxZ
9MWjITh8KQEjUv3YR9qher3sLrJQC6RsvH3QnffP6Ep1fXXbIQMCoL2MTxRdrcLTgM6sudh0KXUV
Y6nMOY+lCdmLbvWl7ywI7G4HCEA7PwB/YLMMo+JzSsUAdMV6x8sBhuPpkaZ65pB+Qk6rG0ER0S41
dlpVAcmgyu3PhxuM0mMfArwnqGuI44yT5xSNsRAbG6RaOLt/mdVznysaJBKPRzENjScfqZgJyI1T
dazGq9loVrCDDsihQOI44AWnsAOpDLDpYbAF7/yzOjJK5tkaBJDRTu4XYzAe+pRuLpuaTAScGiuJ
LnLK89VtkqAarpWIKHPg73o/MaLGGVStBIlBY7QUBg3+ZBPAJMI1kxi4ADwP72w/tw8Ap7knhntI
KiceSv3n5xUCoyufSQDCGmokwnchfZf6DXwnTwAcq7tvrVeoplpkh3YsQ/j2AU6p7Sx8l5XmdKux
vNlrjt9vL2sicRjgptlISHyOMSjeKS7rGJmnBoS0yfJAaA2I9jIJYjsdHy8LkqqDKSPc9th7gYcK
R5bbxTp3HLW56/+aLYZ7Q2N2fFmIVJsjIfxHHEXU3EAjARB7FfahzX3qf8P4UVR7riJwy6XgyECn
C2BfES5zLMaGdBXOrDQxg4ByCgpzWyMv/0iZDzFCLGNpb2ZkrXFigzvGjpPdsyCbwkkRMmVug53k
f7URrntPmwJADOCu6Zdum+XOD09zrooSCD5JqqLRlZ4cFqwN+CfA1kVqxqAmdHZMGEFrBb/7tv06
Ns6P0gr+wHcQMbEoincsWqRik5SmY+KwCne304w6i/w509fdNONqiC4bnOTw+FIapp+wlwqWV67w
kcF5VaItZY5A4M9+nDfzzgv2gGi9LctPArDwnIjfALzA4KH9IFYY8tnqzKKDNZitlyMDrB9ZbjOF
yclqlSdShGs6GHLTznvoQyrLfqWJ13xLG627zVIPy1YYjJx+m4Xf3peT7efoNJbdU9519JNL3/8o
i/wT8RznenZhGDVWSe0cGHSA/583Wgku2XYKkm1XqPDWeUQ4ahf8ryTcrAAABauy2LoPZmIT04Uv
B3UxRGmK2X1gtinemlIhgI0Hii6etLhjT61kbus002eo41k55jnZW0K0339giEcihA+H6RTPHy1Y
/NiXX7y1vKnTZuv32RvDYMVlUXJtQESNw8NEu7iyPhVaijVm2AitQKbRV/dW/UkWlH++Cubm/iNC
0CZATyMBWGQVFu60A3l6NHvmtptXhfeqNBHuJITUlBUeMDrSubNCy6VvaIF//rLA3tuHKvw3HEWI
LMfKPaIpip202Bt5RTZWXw1hTVrV6JhUGwyiogCJCItU61SS3mGuMMMCd5gbAeBi2MYYp/gPPv2R
COHA6qQZCeqDUKb3wjrZFsxWfBLJDQE+3Q8lhONq3NRwcwdK6EBY3VhkustJQKPeURixLHBj1oDT
OWAsxBXRhMpmLHvfhYUFa7dNZ/++mwHAno8/WN98vXxo/AIVQwymQbDEjOVAzn57+l04ntE8LrAy
f2yLAmNBtLuvkdnPoRlUdrq1+mV5YflQBJvMWqunVk9Vr1zZqVp4rKDDpgOOUrwPfTb7w8oxPanv
5VvHy0CrOeVV/2ImRaZaHpIKw6ANRx/ho2pCHt4EfUecwrYjbw7ChbFQ8/1wHp4vn6pMCqZR8NZD
EOLT16enypzEwqApUgka4Prx8vmJNHTT4JmtCN6SequPLqEPWibglZ+treHS7du1gQP7eTlue5Iu
T4wmWgw0oyAEKXlxYFRbwgDNDEVzVOLQ6JL44NdEDxmE58IrAwP6Vj7XhROt1hqNVRc6hWql7PwU
HV3n2PWo81vnA+ylySqnzrHiXFg3mutvi/oOUMvbz34qQMcBPcXE3ASkiBXrqpr1xk0SjEcY1Y4F
j8uMWiP59XkhpoM2C+Dj+AyKYA9jXbXT7FAsawNoby6BzQUcsFEFRiSyOeNmAg47KplIwGDikHZq
dpXXgDV57NzI3hkAEtTus331qG3LQ3OHlvUDpzjssAeM3c3QPTQxfV5Btxn1d9W2joK4jlVVHC7v
NLg4WNPDRewBXRT5i/B7WNno6Tghjq0VA7SE6/0qi+4vnzQukMIoA+BLGl8+6HOrPJUoPEt8phu9
ViOW+HrDwtIa907hfbrXxWWAJACrKTq+qnDPEDr4XTMiZNb6eJiWL1XbYnyD/YFdHkvhmh5dzQ2e
1z0KoMCrGddw8pKtZiy70VetAEgPDHDUmDtEAwoTB6di9CapPY3Hf8t5I9ZDab9e/iCSmr+D5Wx0
9XHzA7VTNP20c2y3R6kg7FxSRSPQrWhY9Wuzp6PVXtUlllFze/FA89cBfX7GitaMzeafwZrVh2pO
nH2al873yz9KFlhcFJRgmICZ8USlUQ7BRmQJn2+bLnamG2xBhO0nR4renREleDyHgKzroIhxerLr
SkuDYocJd5mJbBSF026MStWatkwVz0D4RSUOIGji9KOFnUNdr7wqHKbl2Z38IpoLZHDL0H27fGYy
Q0FfDc8dvtiDwZhTddKMerheAlScyeAeMhcRf9JJEl+WInnj4U2FFz/WdrC4gyfWqZia6gx2QVzU
992r4Rb7qGtEv6g35s7V4WPDPL15r5SJ6ui13YKA0OHFGCee0uWGVYmidqESIapit11LaojAQIED
SASyDG3s6+uiGjA8t4FTXfgPOQoV/tA2a5ckSEvrXxN2yrrszShU/R2pENwq4NUDSiImvE+FoNaz
umUAIYb9M7d+GG0bsVYRLM6zGeS7eFiDFwXvUMx3ncpog3Gohx7GbFiJn4YLPGhXgonouvXTcqs3
Dt0NCFKZHqT7y3Yn+1bgMfHAqQ26bhRpTyU7OjESr7D5S/teX+tw0RNFpnZ+F0I3fhkiFKBYIub0
5kIDnJ6GW8P30Q9noPGr1nuA/2J4PcM2VJIotsdkHwxvbnSj+IYXdDtViZitZWU6LowhM7ZLACpq
+7Eq0t3lg5NLsbCnyeP7WaMh07KW+A3USoNh2Hodko9gQnmuNSZVS0ouCiDTSN2xXfgOW3Rk5sCh
oV4+uriqyHA3tNO9D+KJGl2pyxpJTQG3+n/ECHHbGPuF1hSGjqcKoPWGqYzsqf909gxrOBIifJwk
yOzcGaBL5UNIj43afKx/XFZEel4uug0eD9loopwaAKY7ljFYEbGbHD07IN+t+RcNbnVZijhxjHuO
N5pBpgspHD1SCHOOWSx6xaOPPSe/ynz+meBVtEFPKAtpS6+CdrlGawDA710dNdXwdWbpLYAmFUmZ
LHQc/wohPNnu4q9jWtQhOuBTHqcFNb9QAF6s9+AE9ce7BmNz6cZxWA6UDdfVHy+fgsxoPDTbUAfF
VXxWE8QVP2OtCm5QOv3GnRIbU0lAfroshFveaTqNk8Y4KgYkean1/UscOQAd2qCnFDqmvfUK/ukk
BM61E9p+8531KhoMqUZHwoTPai0jM0B5UIeengW3jVag4R2M/t1llc6joocnHh54uFaQwZy9WDTa
9bTOasRdQOzW5t4m+VffI2/umu7tmqrGMc+1gjw8VxGIXRedesEnwGln5msArao0P2hUuzEJxmwv
63T+mSADDXtOqwCYNrEvmld4shYrBen4Euh4Hpdu6Hne1nDGfbP0c3RZmkwjrI3xPWTsvgCp89TL
RwwGNV4CjYbAjxbjbk5VGCHncQT9dxfcawEnFDtrXRZTtmIzBPrMpYFnCCALI2Nt86hRLjzLTo7n
svwh/g7wcqpLRorZTLCqi8BR/rTnJSrsILbW/juZy6+Xj+29PnHqTAgXmCFBp8cCGafI3z7NOSjY
Wngss5NyA9M2NplBfhCntUO9oFi30fSfKFjRqOwyPPAmYm1ISsmTUXbrtTeSMkqB8xAiKIAK1SN8
pxJYx3apB1HXL26kGT2eoL43Yq/LNrXQ1nQ7bqop29lWaobl5PzQtdHE+479whLgGk0BtbeXtZQd
qAn2Wx1Bw4Z/CUUawBpMU0oQmzPT2xizibmY0fvls+C6TzA5eVmYzBJNtOiRQMHF4F6nX0/DYGZe
pKwOk2wgNymZyk1FmlyR1pwHenw3RFleiLXQ3hY9uKL/w9mXbcetI9n+Sq3zzmrOQ6+ufuCQk1KD
Lcm2/MIl2TLBeQBAgvib/pb7Y3dTVXVOJsVOtlz15CPZQUyBQMSOvZOh1KY4qhFy2ySFtjcBa9xk
hQCAViFxi1xYL5Hl4E4RXh7hWyry3aYBwhDJFbSaOfMhQkI7oV2H+URn8m2reJ96h+WRHZv5Tze2
kqPZmU1AXQ2iSw4/6EV3b/BVgaLFeUaTCgLJ6Sk2x3bUshtHr0waVFNQC7dIWI5rS7l05KEyikoo
8rIgcZgtpaanDVofKhxEp/+mUjQSySfSuk+Xp3NxICdWpqU+uc/aItMcPg1Ey0y/7pFhNuPod0xM
7ODOdA7mMVAzkFQzCpiw9U+F+zQ4K93IyxOFlyp49/H/uSqE2RTEarsavt6062PXq9o2RrPSjtQf
FFNCmAVoMJpBoHEBpkI4rvPJIlYspCHgG50R0MlxoGTTj+pz5qCp8vKcLWDszk1N63ayLuhykSKH
lG1glOkvZt+OgwFB6SIwai1AAOUz57sKZXA9S6K2nOQ9PD/OiN+SYmubk9z6S0HSsBQyVPPvA3D6
FtQrLn/j0tY5nY1pXU4+0VaK2KjBhBok4lEvXpx07QQsuRmUYJBawaMGKzs7AQkZJUsUXKu92d5U
KR+BCuiJDx3B3m9qti9cdZ/Ga+yhS/4a2XwQxuA5pb9DN1J0bwBWgXNntWSntW7sm62x85Ryp8Ta
WoS3ZAyvbFy3gImg02G2o6oY5GUA/uJsGOMXg/GAlcWeJaAWb/na+3ppT00EO2gOQf0PbmXmtmWp
ZIM1qk5QoM8SUEZ9C2a/0AJnpAztAD0+2SbdxrvKgXKH3/6ERsa9tlJVmxMLTkdoakyHywQXMvpK
Zt/ArHSs08Zwgol+LHsyUn/iFkwDaxt/43iFgQA5f7m8TxfmGLkyhLhTLVp/l5FXO5M4cY457ql0
wgG0CI8k94w7h/EmtBUiNx+3h8cx1nQK2d5dULZdGroVtyC/G5AtNo+ZLAIvMwP0k/+OIRQbMDLw
7M8vIYpWLa2a3ltqp3+xWH205RiNev8ZB3PljbDgY9GTiUQt/ochvQNnpWOlCr2Z4oq09VEDM8Me
JCRTlNasXBdLy3Vqaub5xmFEhz+o4aAVNmxGNPq75n1bkB3kNHcfnz9kZYDSQwA6ufZzB+YNZgYF
XYqLw/PQ9NFuFLBltKLdx2Tlll2aPgCa4MM0wJpQez+3JIwCWuE2fAoyUCAL1o8GVQmkO5Nfl0f0
BkaeBUcYyNS9h0quBQj6uaEiZYyLKnUDOkK10w7oowLKzkngGkQ/2a39wEN+TI89iIOd52YbB5Zf
PY71ys2w8KKEdjMYsgEc9CZG3/OvUEDDoqdGBxc6MraxSqfcKh2kXtv+IVOEF9QmWlIvj3xhhnU8
YvGCncC27tyRprxpMSlI68Y0Rbb/lzsauBTvLxtZHBfOAB4sSFUgmDkfl5vGgJjUDPc/i/k3Jc7o
FfCkgNKMCtuq1cC+MNXM1piFFu5ZZHaQ7p2SOwhv9HOrxYT7EtjFQU3LvaWlt3HPVzzJwk0LE5BT
RsYf7mQeogH4aVqdRM61K7VjI6z0ygNZ2JYrfReJlBa72hbVsS7Iau/rdMZmGxZ9pjZQudN7E0Xg
88H1qVnhOWS4uA/crQwh6/OKx5lfPlTReNV9VMt5un6AG590KFA5BDnGLKQAJ5lmAcIG3wxlvCLe
DdUGxCx76a6kwpbWbMKYAzM2tQ3Md4pZqwz3n2jAhEF8A2B5I/9yeS/OGeL/ORS8wNCfrKMH2515
L2l15VAlWDNIurg7xRjEfqh0Y4M0vbMXwpRR41b9nsSjG1Uu6R8chZJfqIJAYwwNsVGqt9m2c5D3
qZRBrnzd0oaapKUnVAuc+Vz/0YU8oK4RFXcuiozsS5t5+zR/STzkI3Mv7Kn5G8f/1J59vo04qhZc
r2APTfAoOb8k1bF01jbrko85NTLbPEOi21TY2DxdPAIRoeMuvEk9JYbEc085jS4v8OIWOpnCaYpP
wmu90pxcM7G+IqkfhKpsvZauZMCXB2SDFAsodXD5zraQ57aJxZVplVD3Jaq3t63bspcrA5nmfn7E
wef8p5VpoCcD6XH+M4jdIi1MSZTpcUShWC/A7czWIr218Uw/P7FUqpanaBRTRuBLatyAPcAXxUpJ
cekSOB3ObKsZNeiumgaTJnNIyg1MeNGQJt9KXWRHkwNhZH6cacFBVhaK9wjyNB3+5HxYFTPavMww
rLzpwjgBCjX+IAvn5ExgAk8Q3ZgkPOYNVV5nS9cmBoKuSr2v1W9xMd5/eDufWZjdYkjdgZ8nteB5
meHXRgtJ7NfLFhZW/8zCbJrQJEOgcgkLTuwF4EELubBC2vUfdzUo8QMLBUg3HLs+M1MjYhxHC14g
d4tj1QKxM4BrUF+JTRdO/5mV2aGpOukpbTxZyYZ7ZhW7Kl9TK1icr5OBzE4Lp02GVDPmq3e7r0oH
7l9dF2GvOWtUGktjwa6dntQOIr85HlgIQzEtCkNeB8UKGQfqmqjI0lBOLcw2V91apWcXDq5b0v0s
tOZaKOmP0Ry2H99hE4MRWt9RBMIr7vwgjuNYd/aAgcgm21HttaH9LjVWmmEXZ+vEyMy/4FHgVZ6G
o+ghTVymya5iUJO4PJA5L+3beUe+DD23ljkhSmZXmRiq3ktqEzyYeCaoEjnGwH4uNnZo+logv8QQ
ycwDFypnqz2qC0uF0ow6YfCAqH+XAOgh29VrFSxbiRqk1N2Wgxm19VqyY2EWpyoTkh3o2/Te9V3g
FVdVQEaCZHcwOt8yh9Bwm6+XZ3FhKJhCkPqi/W7i75pl9kkVV1qP9DpcWr2VJil8W8qQyyxfcTkL
0dSZodm7o69Tj1PWgAOvKLqrVljeQ8ssekAqQ+6IMJWrvKCtj2bvNWja0hDx6vewYVBEgS7D+Y5P
ipESV4Nqt0Ez7me5AtFYiwIWkhZrCJqFFUPnF4oXyINN8cjs0ehg2kzFK5UgV7Q8HKmEQpbm0pXS
xcLtjd4Y1DknrC72/WxAVl+kZtMZSmDG8QAtusJ5onoTgoYUm91k2U0sGxJd3icLI8OTH+9+gCaQ
f5q/rkwvGVns8RYsieMt0Oq/bA425Ms2FoIsNE3hzT210SO3NvOASl6hNQeBgq9WDcDxtBza61a4
1qGThGNjltVaWLewNaCDiUtqikpQbJ3dgxLELQrESVA5MBwWaGn76qjYGfngfvn40E4NTdN7EtUJ
RTeopSN+TLV0QP+UKH2zVD6BuMX0hSI2l60tLRYy+xCkQyQEUPdsWAUokMBog4u3SqqvXMl+NRk6
az9uA1RWLgp1jgFE8mwTqgqepq0CF9+NkCPOY3jDEvpol40s7YhTI7MdYYFpZOhzeMDWwgPerOpf
tef+YAN0sVLa2B+PV7xTa7NpU7MR1dxpIJnWG76NbLk0fwMoC1jiybzNdkKdDENdcxghahUMKqRF
dPvjVzxCIvR94KiiEVmbXYy1poFNssWs2cIMdeVL69BNNqxM1tLROTUy+fuTHZ20gPERAiNGKj+l
6YGJ4agAHXZ5Ayzt5FMrM4caN55RWiOs6PFXo78Rq5fD4g77a67m5XtwoRsdSGDhAbrsxtbQpMlN
YzM6YxsaEHy5PJqlkAU+GzEDNFKQqJpXDvKmHyjeqwi+oGj8SY3UV/DoIRmtBOot93wF2r9HaGGi
JBZka23DCxfwqe35SEEtj3J0DNv2YKAxhmm36mCEo6bB36nFlOFBPSWmK/HF4gL+NeJ53Ayteatt
GhtZY2bcV2p6i+TgWk5jyQZg2ODxQASDozVzRSApFyVtYWMYSj8dtxwcnJcXbs3CzA85gk2Qd8xd
XFShMXyCXteKhaXjdDqGme/pHU2hZYIxyEL1U/MKtDl+Jj9dHsbSZj81Mg3z5MyKJCZjn8KIrYJS
O2WB0b0gBQ88yv6yoeX5AsGRieSPgdLEuSGN2V5fTR6oz5QXplqBydKVao42zcgsJQO84ASSA48S
8PEzL8cUPur1NBhCo/ZXd5wEjTOoZvbWlbetQ1C9/4ZbRVeZOuElIKA9D7skeHqZHBPEqEAvxU9g
Svc7tQ8+PnNI7SKNASy2CyLF85njHUfrgoARmus+aqhhATjWZRNLW+3EhDUL+Xk7NplCPPjUDioe
lG5kAwHXfq2jYGmzIUTVUCI1ULqc9wOj/y5LnAzr0ygiMvmTlboH1lzF3Vrif2mznRqaHU4ppVCr
DoZSz37MB3Iv49+ozEzh9p9jmZ1OTeu1kZWYMq2uH9Ar7o/GsHfzNaLQJReNiB4oMg01DGM+ZUiP
2V7Dpx1mlY+Cl9cKuP4RZ1fgbjaiIs+/6K1dr1zki+t0YnQ2fUmSu1ld4QXoSVx6TuIehy6NnEbb
G42aRZf33tIIAXkCEmh6wbyTCdMMMMbaCV6BSAjbkVszE2T1YxJ1ipIdMcvGzqgcSvyYemuNB+/H
iUcZ2LnQQQMyA7wxzk+WSsAs5UolDmg7+hYKJtzdFm4ZOOYaq/zkec49EywBvgZsAGjQQO50bsnp
HJq3uYEcUTl6vgA4MCRx+lMrZKiV3m2qy7WX0/sjDcVKwETRfqXbeDrNfKHXJtzIK7zOkJw8ZJ0R
DkTdEsMNL6/emplpdU/uD6KYSmwWMEOz5DFhwwaUcl/Bbrv5HTOA5gNwDir2eemVJIqdEgvv2wYs
bZn6wzMPoJ9ZYR1aQHGgUw3pAAdFc6T1zGmwJ4Opi2z06gyoShqZB7vYpQ4oqdDrf89DYFRt3S/6
MN3EK873vbM6tzrt0hOrbWXGo6JiCl26cZvhrh/MlUt+0QKEyKeMB7Sv5tVIYTRIF+UqGJRNHVZS
X2ZrHndpHwBrjR1nAw4Hv3g+CE1vKq0U0CpqdIgHu6J6UXPxU3XpGqHWQsA8tRN6HtA2eMgAYHRu
SQdncc3APxLQyNjUzbYuIutrGeTA2gy97xR+fGXxkOUhOazpwb53VTDtTtheQJWdd7CmLq/bLm0x
j4WXD+EoPTUqbBfs6wQi3dlw7KUGwO4qkn1xblEQhXYxntYo0Z+PGGyFZZPkElpinYvCbpJdgbuw
Csqs0Fa24pKbQojxp6XZAUiJcGN9sJD6s8ojngFgkyfFXUaTz4COfa7tbKWevIB6xYwCaoukAZo8
kEg6H1rfx51mg/8WoHljPOIhbOwUb9c/pJHdyexmqLXhVlBuB03KoDxjAYd72bG8dTbMPTOaDqeQ
RMVDYx4zDuBrzmqHYU2hanRjpGMSWCK1Nh1qR4EbQ9E7zmM99DKt4z6vQbSsVmBM6VMgY/tKXROE
WDqqp58z86fjaA+9aSPrKdMhD9Ka7pSerSVe14zMjpBVSyQ/Oxfe1AK/aF/tOF0tvS1t2pOBzFlu
q1ZTGyvBvCYJ8a3qV5kduLeS9VzcPqdGZl4HuQYrIw5mi0bODzNCl/237gsL8k0RrMVE+lKwMLER
QM4bLYqgtDnfqhovnKHzkiRMv1g/LOKPgYDYaLFHJQ79K34CVWrtRkK/mN4hlQcFlDDdNuDE9H51
2+zD7w5QyiGVg4QygBhIq51/C7pLat1QUjBQaiMq9nn8ZObe90SwlRfV4phP7MyOZ6LgQtYrNNjL
Jgm0BmPz+LfCjG9KK/VWfM+yLdxPAH5MRK6zTSlHPHftWJs2zPDN7c27rvOuPGRJQ6V1yrVjP71o
3h173IcTkuMN9HQ+g1yWMgUSH9p63gjoiG1W1qNdu27ut0IFJiH1PShqbbnuNOBujEcdbZQeKkqX
vc+7gzhRtyPeQBvlREY373zVrMpo8h4Kjr2FjitzQPkodX9ctjHN29lIJxseqh3wcQ5IL+ceRdC+
FTYuLXi0ZNvQqMue8itQuIHusmpvFEt6fuuaykfh6zOzs+XsHCg0C7TDh3aBGXS5/tV1klcDPQWX
h/c+aDszhPDwfCXbhnMZ6xhOHAMu2gKuQBudfrYIdAZKrat3etNFPWovXSrjjTRxczaKrvlOXfZB
6qRIrRntmv7NwsICSafjxQ6gIMjEjfOPGnpgwnpUbX29quJPjSirKB/yD78qUKo3daztVNAGNncW
ORZ6DpW8WkD9EDlDqlR3dvpIzH4jFMev2pUFfZ9dgbWJDwAnFHwjYFo+H5OX2dkIXFsHimWNBmBc
yiLepcnWa9zvdtdseGPuRyGkL2PBPyUiob4wkl7x5cCSYMCcr3iM91ix6YuA8QDmzUA4OEd+M89m
rQsix7CNeCSO9GZ8FVfdrkSZ108Cc6e/pPcfbg+YbKI6ityejuY1a3acNMkbvFYhEjdahXbs7O7b
GNfJykvknS+c9jSKauh/BVIfLDLnUw2iGKXI3Qbcu/TA42PvIb0QPyrKGnXWu3hvZmd2pw25Rwvd
Q7wH8vEsinv7q20Pv2IOusVWps8DlnPF470LC94sAmMCwA+IUedPkaI3UmAuYTFNiOXLttlSq9rD
da1lgN/TPcwszQ4HAJjt2ErcJ4rSATyjO72vu15oj/2u7go91FW6bdkQFirfO6ayv+yW1sY5e34L
xLwJNVG4rHIzakq+9Qp6QOFx5QgsmsHmx+VhTsTRMy9rYpU6pkOFp9R4YI5jVNEfSWavAOoWvBmo
wiB4iyOGEtI8Socic6qUNgYDcMURXev3hh6v5SsWbSDBhUIvuMXfodaNLi9E0UC/iNtGdh2DTXAP
zNvrx1cFCWKQ60ARAe/H2ao0EjrdIIbCqug/Pe3GaVhkSrFyIy2tCUi6JxIw+Am8Fs8Pr1L3rkEc
vGkksR4HSwQg6Yh04Xy6PJbFiw9JW/Afodj6nsG7pJynlsWSUD2Qn1Oqmz56NzSsnsmO3k+sS9pv
7Gkwv7oTwgUv73m2G13wOHKWBoMjogijDcBwte3Yh0F7+FdOzczmrzUy0icUsqadbUcWpT6YaFaO
zfLcnQxldj/LxkBm0cTcoWoDNtHv9rPcgXpm35ehufEO6Nh5pLvL67XkawFVQdpbtZE/mMMlOm9s
POI5rU9yvIo0yGYFhkCaUxaPZNCfmoat9SssbkQ0Z5hIbU5t6bPIaLA1hr7fab0seZzkOXOA4cz6
w0D+ab1OzMwuqyRG2qMRYxK67n1SioCINWzi0kWPhAvoD9AuAKr6+a2RUSXVhyrGlviRQyT+wblK
ct/5bB/tW8gdGc+qX95XwW8NzAMPlwUsA0gRpvk9ScyRVralJ7MppROzkLcquFW0Mbq8LZauepT/
weWEGG5iMjs3khoqR/IW8oiQNJDFvgV0R3yre0MmiZ+QZjA36egi73jZqjYdotmrYGpNRykOwZz1
TpwrSQBbtYca2tEKNfdQysg2pToWtyjcZaFOeXIEiCCOVCihBu6YhVmvQlFe1NXBIWZ5f/lrFjYq
PmaaAaS4sL6zmCorjNiEOyPgrwPdKckDDupLwDhX/NfCFXNmZnZZIs2DVnYD4aKiiKARe1eulWwX
FhMNu2i2mDL9uF5mR6GBgJQ9okQSJj2aWodeN31pqHdS1wOhDB8fDoyhJDh1BqFtfTacogJdn9HC
GBFZhOkDP0m9vbww08TPdgnKQAZEW1AcQTPL7L5EbV0UORVNyFroVNFOaH5eKVtAbG9cO0YTBhAD
ony+bPT9bkAjHsjlcaeh++8dj2ZsOCnlGuqcTfk0Zg6KuT8qsRLRvF8oXFTo5XprGTVxW5+fOsod
uxV9nIVgixHKVctCL9/W6ocTbeD7Rt0H8dmUG0cd79yMltSl7tIM0KQx9XzSoj7M63HlMnu/rfG+
hGoJku6T7K41uy9zGo9lnGEsXn8gUGHKRvW3LIApEz2FcMHzsKk2ZK6gAw+eV0+ehtrKIOOjf3xF
AKRGqWrKhOBxMFsR0em28BwlC3tF8yJD5FtmII/W4JP8QgHH3Yc3GcyZ08sZKFAco/OVEUXh1E6H
FvPOIAEXD+Zwr/Kvl20sLcwk8zjRcqFs8PZCObk/DK2tRedBjpMMbcDqeqf1zW+sjAlswLTPpk7r
2doPzURN3uYACBFy34HGt2+hIvw7w/jLhnE+VYQz7As3L8J8VPdqjap6lyWfL9tYOPOT2gcIG/Go
RivbzEZMm4pnHDssSUs1cCD98chdXe5TFsufl00tPAzxtoZXQ94A2RNM2/l4WojvjCoYWhA3pzsG
kbfIC8o9uymJv5anXQhczm3NttkQe1rrDFUZFkd+KHpfhmZAt/TavoOa9Aj6wXGPMtVK1nZp3+Ec
TUnUqRV9rjvlgVWD9x0G2KNsBLj78NBaa4oG78twoGF5K/dNmDWwwMx2nq13eSItGMn2GFRkbofI
jMQONLBFgMKJX0XZd361loV/n/GfmZ1tlKYfmiJVigJm2b67nXhnJ2z/uM8OawQfbxnn89sPj15w
BsFHQFUBscH5RnFBVhGnZVNC3RlN/YA1En+QPqaVBuNPZ1vsRB62IcL4YKqqBiYQeivHe+lYnH7B
LIfRgIKJp05Gkc3Lbiyz8AmhV3g8rZzw/2Wk0wWFYBfX/GybukKgK29azM7z7UMZQaW7acLkO3An
VqRurABpmt0vemfv1Dhc171auI0x0X+ad2fXpCkScNBrcMZGhnKUEGHZtqHIuqCoPywuAoIINJIj
w+AgaQjhyvM1bYcii71Ep2Hb5iGyGQ1ww7HShJd9zMKATq3MGawbPRvwKCqpT1uzAIRS5LsUAJAj
sqssQG41u79sb+k0wiAyzR6CGYQbsxnMRm2wuUnBmPKtwnkkQf1qlp9V7stARlVU3icbCeWZOICK
/WXTC87mzPIs5B1IE2tm1dAwbfSD4tY3tOiiyyYWTgFSQnjGglUVWkrzQHeUGbGIMXa+nTrGDVcU
M7QrSa4Nr1nLpy2O5i9Tc7iVXkEFsOsq6ivFAEoDQ2o+iJLL/eUBmZOXmnkWjAj8L+CChMDVHHhk
gJrRiQ2cN4B+WSg3WphHUwGxA31Jsfk3cNH5TK+R0QvbZzNKIyWygzQioR3SsLgBZXlE9+6uvNVD
0/UhX7TNdl3QXa8/g5d87tnXznzu6GgVoG7wufkXFR+RhSgWp1vjUD5VW+Pp8tScvzjwzEZ+Ec9A
kKabUw/4HOxYKFlec2p/N2Ma2Lz4XJX5vtZ0H8AgFAZN1NzdX5ctnudl3lmcYx8rgpJbBR0zklzZ
vTw2TURyJQCNZqh5Xy6bOt/I0HRBNQjRMyLCt3YWd+Z8SltnzFIIC13jE2FXsX6Mxc/LJmaL9c7G
/Mkx6GrFsgKiyYA7HJgjiE8ad2JJ/4TGOx9MOYHQiod0lPtOUTddteKJZmXyf9sHTRvyrIiv5/kM
5ubEZOoUfGy6vbOzNs5LfJcf3BBEodjj+l4EIy5tESjb7lMOgeIQwSuUFQO2Me4uz8VsZf813X99
ynTYT+Jvr0ftVybYt6WZb0Yl21CQgeXyOnOOnrli69zjY6fC6wJBooEUFT4K7/FzW1xNqcocD8Wx
zpBugHQc2FEJZNxVv8c1VAZCEvKhOO+9zembTsdnk85ySCv8Wo/rOyRz7AfPa/rd5Vk8d4n/tgKC
AHRQIyc0lxbsucLLvMCCFuCMakDA54sUPMqXjbzpzv/lEd9bmUUgRpkonNdYKxZqmxYtF4/yxfgK
UWQAuO1Q7IxdHaC7ze8jPeyvdeajS6pvNsp+rb63sJCoQIAaBMRrLjDds4Xs2w6dgK6L5ko25L60
3X6TAoAdIN6tApKNPy4PfO4SsG/OzM3W0CGWGteGIXz0U2Xpi1mhw/O+biG79VMn5Wi/XjY3I8t6
m2fYm0iOp1Q0qHTO94yWO0piVVjN+Ltyy5+bDYLZzPX7K/QYQCosRKiX+/HLsENaHxiXIyKKrR1d
/ojZC+zdR8zjPSmEg8f+lGvf2gdr1+8Y4hS+LzdrshULe9eY1G5AK44yCZIS56MFn53WJGbc+bwv
sm8Fkeqm4sTbrIxnmrTZ5oUZtAyiJxC23q77k4OIDsWGNhSvcPi8Ix4KnPoQePde2u8kBDoIg2NA
0lHf+zJCJPv1o0Xptwk9+4DZprUbxjtzxAc4A7tC9d9DC1a6djLWRjlt5ZNR6twG4KCZnl52t5Xy
2nEex+GV1UlQdZAdsccDStaf3qb2P36I/0xe67t/TiL97//Cn3/UzQi4ACQkz//439fpj66m9S/2
X9Nf+/PXZr9127xW96x7fWXXz838N8/+Iv79f9kPn9nz2R+iiqVs/MRfu/HzK+UFezOCL51+8//6
w7+9vv0rD2Pz+o8/ntHLXqHzkHXpD/bHv360//mPP9Dxh+OHOP0/Tm386xdunkv83bvn7rn6f/+z
+Ldenyn7xx+K6f4dTzbwaE4aR7huLcRmw+vbjyzz7yjSYTuCWB+CFGCu+uNvVd0xgr+m63+f8oXw
cCaYH/EjRO205v/8mf13EAEgs4xHL7BlUO/99weeLddfy/e3ipd3dVox+o8/zt0bkhAotqLbdCLe
nVqgHXzD6Z6BLKVuQ5qShMBABSJzLGhGqqFJ6zUkgwbq0LNTONnCNCC6QuYdpxA31bktprepmjPS
h2SMtxA4S3aAHznfFKZbEfMoueVuVbmhF5M+ECLH/ez0phGkXiMDsCdJoBSrIhxFz3Zt5WYHaN6M
O5ulgIRBCGlfAMBz10jL2wljLKKyZN2OEtXeDqOnfE+tpD84krCD7sa97yYd0uMIQPZ5bbuhIiS/
cjjYw10zYaEykvHbqDJknuBUPqnxaF6pxdjuIPdWRcJonzy1VMMyqWXojXlL/IKVUPQ1++yGgr/7
0U0YOA4RzpR+RmQftHHewody2fva2AzbsQKowq3yF4TP3hf4JhucaaquJGimT2IdrX641H0Lz+2t
ObbGrZXJZGNyTu90mskfGuddRDyvB4LKavMnqx/rDbdq5Uvd1wqB3orJq4A3TvzNVAeT+URq9q+E
Od2eelazswUTu1FxtBsG/hjoNzWlBvoihRAwikg0mvWWV0JzudL5A6UGnt+kod5LbTn9navk5bFE
+X+TUqn+gOiic2exriv8LGltzW/Kyhl9puLplwAY5VfcMK9FESMKaiT8LjDUgVKbfGdQzQG21Rj8
ihbllgCe5Kdx2b02fd7eDRZzg0aCUjAEd1t/bdlFDKbwEgB5ixIG8s/2rkvTKKkgBK7IQFFr14/R
qxGMTmYFowTErO9pF0hF63Zx3PBQ2GoTNkbKfyC/gDKoSoyHNFHiI6g3y31PnHTXDCx+Ybiftwp3
tN63C3fTOBQbRMaoxbGu9cLaod+KIbZupKdrGxIb5kMGIOiTmaF6q/eKeCjbxv4K1nM3BMhuiARa
SvATJ5f7Uau7KFVGPvhS7/rrrnLHTUmTiWV30F9cZlC0RFLeg7BIoVvDocUhjuM8cJAkJEpmdn7D
PLbPCLMekpiJjRjrLKq6EQcjjp1tB/GETWk4SVQCfBA2zqg+8jHtIoZGEEhcuOKA2duh2JxsbUHJ
zsYEBKmtvnQUOGPPydTPnpvSA4QOlePo2HRjDVo60fPSJ2701abQujHkud1Bzt5NsHgeGoIalm96
B1drieaZAghx1xnK6zjtymNsDPShy40CtQLPicNBquUNOKGsXdk3LyNDp0PLGiNCuamOBJj7fJaA
bshBbWGIdYi09TZOvo4Kmul9hmjhC0Qxx01d5fvBoQIf1lp7u9fKTYH4LHT50O9jVR+P3FTlBlXd
CNlk4VtS8n2ltmgTMUqFb1VTGfzYzp1tyrUOXNK2u0XjY+bjCuQ71+vrECuehJYqlWsi8N84yPZC
j6nuofNqI9RF0yW+bRfJJ+ieVn48CvVmMJQnFUT9ATV05CSLcoiayo13Wqqquy5Xorig3j5pHQ7N
oRzflo05P1KeQjgVokGQSPLSbaqN/IAEW3sAnI9HDTfTgJi5fiVio/tMlL75XG1lVZZxMFJzxysH
gxqNllxZmferRGNf0CZNskNrHFpT1a4N9ZFoYVygegYy2/RYSQRcICyyb3hmc8iEE76xq7QNFVUX
BzNP7QANS5z4IE9Mokx25GAJycJKVn1gNLGx1TxSAu6fQdaM+V5eDw+NTFGM1tQSW6zUQtYbv/KB
aoEGBqn6SkObfuDRQdx6pCj3DvKm5bZt4x+qV5j+YI71jwH6DFcNH5BL4eYrCu7aVa522Q73Zhqg
WUr13Rbq7LFpNHuGYkRQQzswRF0cRf+kzfwy1cxd06s06PHGCnOIANxWbUv9HiigK09PrCBRHP2h
IHqVoKjOhe4rpaVMwsVUNSow+wo1DS09VvykbYbRzwQU6ILU9VoWjDEp9ujsY1+ZBYQuEXm9hT7r
m+est/hqhn3vUh5K4SBG78kQlAT+HbQERf7FHQbvrvCk4askdb/jPNV7/Gl8atQkP4I92ma+YaMD
EpQdVuQUKgksN8kCl5sogPIS8SitaShR57lRVPKcSVLdubmjfXbafvze4DI7ZIopP1eOWwUoQmYE
3s0zt8lQshs9y/TIUxPzTul7b5s7cBgxmL3Cvhz1nauU7b4mbv3kFFbK/M4alKcqF9XNwJryWKdY
TS+T+q5hmbKppyDagwjLLaYIfB+OpTkblLdd0AZpiYqPFcUINVnZXrUZUEg+Y7n9gL4OGeYOd6IS
93YwUS9Hg1nGCX5svYo0HTeOzXPfbhLhg3w53xc8be5irlS+M3j6pktcFc7XVI52abp7yAN025S0
yrU9FO0nveriLzo0Mw+ugzjVV2NP+hrO6xG08Bqcm0ivSV/huIzuGNR9Fphm+2vsi5+gX3mV3fdU
JZ/SpINGiGliSQnZSwhIBGVTidtO6VJQXDMtMJgG6enW5cyPwfV+1A2mXpPKsQ+DkZj72M3ysEnH
7yzh9CrnOXlstbIKOYQMfVaMWjDkthOqUhh+yWO4w0E14jtcil9bQPd2iE/soO0cEaS9o0RW0Q6f
B2Y+WxSQi1x9JcDXBhXU3VVfHdRhW2b5F4E03SYu2morpGs9aDnD2bRcHqacGlugqFVfeOwnqwuw
3+Ug39Bt8v9J+7LmSI2t219EBJCMr4w1qDRLre4XoqVWMyTJTAL567+FfI5dQtziuo/DT7bbu5Kc
du69hvpbwqssLKyYBrTlvYMy+I+eafGDPkJByEzHNECt4RkP32qPX5sHatOzXWpI4ymmQ49dnh14
akdOnvDUF711YK16K41V5yiVjZKVWgChgjwwqHQj9XDoWh4hUvENdZYkdkgBLmcEItHREFGHJAL6
RSqFIKc3sTi6iqaqCnCd1LELe2LtKctwq/USYFkCULM9LFBGHf1mxXKakrQnq5IbOEHnSI+aPkGh
deCd9szTbNxFMI1yVbkBhkyYL0kUZa+1XOqQ5gdSJtJFFkij5pgMmIm0MqLrTpW0Qzkx65BP01s2
FI2bsflgYI3spdBD2yfapAe0s2M/tdrQUAfPVscnJoYYxD1+mjjMZ+GC0xoOj+P3SsgZiFo0snzZ
ksiDMKHWFll1fTfkpPrJIkvx62Qy0dWkuFKlwuYuL8zsCuZQQnUaVclDO+bdlYDunp9YrAqhi1rs
6h4LQe1J7zKhmEcISd/KNlacPgFpVVq1N6SVuCZFXl7JUSEcMnLNsxIDbfQiY7d9oVMH4rnqXVbB
FzzSdCmIYmvYN0L7ZVuS6cITM91P/TjbcNm5+oZisG5j+7E2UJLuZ4S63UOdFOlLA3S+U+U4VFpd
aq7HiYPEYMPh3NUTOQ5ToLNf0SQWV1oMYZZMZ42r6fG0gxOR5Cm9dmBF9QC6Ij0Is/lpAmHg0siu
AiTt5E5rDfXEbKofiwQiJa461hMqvrL6raXTS2zoRdDlA//e4d3xAH/B4banJDlJ5VielCqNkMmy
cackLebXSgoBDrGhBAON5JOmT9Yh4SrzRC6G50FtLLe2GTmmgGo8R3I7uZkp7J3I6vQwkqgMdbmT
nJ61JHbz2qCHXLTKdSJjkbaFXHockj5e3an9bjIa+qraCdLUiGv8u1X0isuQYritUhEsND3L3YIi
mXUjkMf2qilFuyQ3G6fBLeSked/faKNp+iDVzbAvAzkGod2+Nrvp0OWpHaYF/hgdRRsiO2vcutMY
RJaFFE4VKX0rsYCTsXL6phgNUHgTUQOiDmUgF6wH8i/JjwMVZcBlabpWzEZg4ZU2jDlteGUPeivt
LRP611SBaIbeGFrmGLHxXYKt11VllxBo6NkTBHbKb9gFP+ImIy7FuXJEyxImUESCYZYo8vRoRZrV
O3mkE5eoErQdUjY9qRKJr5KpSo6dRuljN5okUOoqfuYJ+BCxsFu8U2IkXnZcuHLVGC6vrfwO/Gjt
oRvs3E1QXhAdb3cFZ6XbTDRzINvTH+IRVfQ2ln720qTsemHxveAlPbYaA7ajS9KHstW6UJBSD/AO
RE2tm+pQIT3x4KsEix6ZxHsti1CPF5p4oTBhhkyELh8RtXTFqB46mdPjIJv1qdVH6y2vLNWDUTIY
bZo6BlJNi4PRd+pVn+DbqoOmjXgRTnnYxvqEM4jNCHY7vu4SpK6dXQeKpIU4lZQTQGI01BMkrZJq
NvjzNd21OBOdiEJjpuR4hXUwtcKxqSc/GcuT75Wh/kqaguzLstOR71YNdhubkNDFMD6JpgYtxFqB
QpWtYbu0ylVmNsqpl7Nkp6kAgWI3Wb4oBDRkajXJgrrsJF+lsY03VBb1jtRG6RUMO6MDHG8OYqCN
W8oiD2k9DkGd4gZNOVYvhYqfm1SoBGeaAjcbo3JhwD0EaK9UrmVM9lUB+XEsRdk6wU4hReoeYV1Q
3uyIkeZupRXiaPfD+JzKkrhG0FbF48zgXgNvyatGI2hnlSW4iXYGOK4lqmhvqUhmFUka3nklJW89
k8pXs0Te15SlBUXxSjOuqkTFHxxl4nUD47EjQfhsL9ky7kSpYD9pppFQAr5ExslPr/JIQWJL4mn8
nYqhaR2ztyaYAMlyFnRNNz7AtrxwrWRA9qfq7TGiMJl35C4vczhHR/YDV/NZjbVtuvuIMaGBAqva
mTuNUhxyQopvVjq/pGs1jp6ytETVUWpTS3HwLK+DTrfyo1E0aoKzZRpvBE71b4Uaj1e4hNlVptdy
7459ksP3ruv7H52dgEaFp31xGDRIEsBjpxze5ULRnrBacbfCCVLytH4yS1eLx+HdKmU59+SeQ/y4
xZvfoUk/PcdZXZ4omkNPvV7IHLysjKJpWdSj2MWNNqepMmRI3QHYrpOlRAJWRloc/wLZlxs+enzj
a0wk9btllPXDMNXDe2ngd0ApqX5ARxb/+TBONnWkCmcJRITq/LbiQk8CXKkK3kZRN2MVqbBtH0Yz
+T3OHlV32nHEb1W1xmj3usmya3sceePFMFf4no2qToJo1POrOG6Te1MwVgV53wG4w7s6+yXMuMcb
Csoo6AxWMGzyYpSBpQD1gwSQPlxJYHwOLX3WMq4c4r6HVsDUT/EV71uqebFCKjUU3WSg2pALcTAq
5DUOa5h03+NgaRzZqihw2llR+fLYpPm+tRr8aA2OjsZLLGfw+27TkdU3XVHJv5sCV7QGFQmIJha5
6TKlM/XboWmG9zjqi9iPZQtockxEHx8TKYcGl85yQpH/cdsduVnRayHF0NcedSnL/c7KOoBUSRzt
wCGN7gVm+wW2LGz0kkxNzFCCB7gDA+hchZyE0t8RVlDq2pMuKW6iq90b1RJcP1IkcwZilDU9ibGq
mFunptx6nZyqb2AEdQ5X2sg8oPgU4RnOeNPh2h263JlKkt33U2S3rjmAoNfLSf/QVmb3okqVMXoq
jGFRBZjkZnKMJBU7zEqn4xKrjcYzmKSWQVZLSQjfkTbxkIEUshPjhisPQ0MtE6Y23ZgjHWqlPBhi
Wjy3BZwFg44PzTUY12kgqxSyboOeNekusSZDc7q+iKabNDJy24UeOnojjSWQc5T9Y8NIE+0YLYA9
H/EOeey6nCBpb2S3HM13NmpyoACC5jMriQ9jVBk6ClHIv9C0ypGzySNAJ5JBp2/zGxAfrJPz18pE
HYIIbjnUwFuZd9JvOpn1XjRDFGK/DCccob0PStagYe4Hc3CJPdXHPJem2yrVYHNcs6l1G7tXPG7j
oKvTkRdOLttQHVFbeoOEQEPugA0fQHnfPOpKTZ6a1oKsSp4b4NxMenkHC8XslEkNhShnfDvR9jho
Cg8rOEoEVjPpvzCjZoT6Zh8ymb+0zaD/ktKxdfGkszSPAkCUVUru1iaZPDsxIe8v2vobnPFUT26S
7KhCmTuwcEEdYH4WH9Ohj/Zdnsd7Rc9jFzIYKBGj9fZcq2ZxNCCAtW+nbLiD5Y/bcvFL00rz0KAo
dNBjlBmGqhpOKsOVF9GGhwXL+2dOI1z8qD2EWiSwdgXeyY3BqYv9Zz8SrU73QLQp1wSAI0h/XuH3
KY6IkfLT0ZRDOo7d78jO8kM8VOOx1OrXKmJuweT3QpObva3DtUNYWoSqCauOrMbxiYcG5xAI1CPd
CiOzhTBFG9W+LQQOxiKXfLMzutcOz2Dgm5B6HOwCQJxh0uFrKo9tiLtM2llJwgBFhZGNbgrpmBhj
ddAGyfD7mIwPaYlcDW9rwCBaYe2SwULbAeYMjm2ogdlVvmHJXgbcFNaLO+Qa/CnsB1srrzS7z13a
CDBEbZa7PEHC2rY8e9JFI3D74THbFQbI6zL+EzQMJK9rVfO2q9TopqNqjMMPdlrOAEjhk2yy5KZq
wE10e+sNYin8qjLl8jEpWXPPG5qcrNhQYFUpRtRSCrTfkDLI9GZAI/IVVHKo2E+a2vhFoZWvE09k
xemRwP9oYmwD0Et710ASbPi8zaM3EknEleDdHcptXtyOAsq6NRGyDWdTu2RBDFu6G5XC2NuBYwfL
HZ40xJkKKJ16nSZKfBKVdT0e3Fb6e8ALWYHAIree2gSi4AGhuXWrMTn7VlnQWZvZ19N70sYohjYQ
P8PzwG96av0q9bw7GjZLbyutBIoT7nyB2hmorjd+3dcJnaX/kTYro/QEk6XaHYqp9/vUiK8GMx8f
pVqGJwrV+ACwBZ9OscD+s8sE7uOlap2qqUDzFw9b1OshtsQcQKNlmAgVponashmzHRcqxw0/ldP3
PhcA+hgxPXI2wk8irgfZwZQnOn3m+c/UHmQ3Mwb60CuD8kNMox4aDMd33OrZD7tOyMFqNfNdi6A0
gxmzvzWQUsYFDVCuU6UsvmmUOFNQ8Grg8azDLfl3VSuFJ6edBsaSPFp1OGra9AYcFpLEOAfTuGjr
Y2pJ8h6ybOwZvuiqr6ACfJSGVuAZT1DyRNKYHaHZmbo1yzbACV/7SzbqEoCggi0LwJC1aPAqMDyS
KkVNPAiY7acCGBIoNE5b4jafMQFzZwnMx5kEAWF0oJQ/MC9nnU9Yuet4EcUo/yooJ6K+UGSDA5Ch
j9fnvx0QKL9ous0mxIApWks0kgJKfpQrRuINZnVFs/q+b7p9lG55VH5ujGNEM7NYB98VPTm0rbUF
7IAhcIIie+KJevxZGOPkq1JXbUD6l6jEjyh4mirA7EFMF76ynztyijJ22qBEiafeTS4JiiD6nj5B
YM6Nb6FgHVBvF93nL2ct0v90IM87jl/mCiODxhakHeAyCDik9TlmWo0QikL67hUwymQT85NUvyNI
gZt6A37zIZr6T9v/r494HmqBpag1aJqbKN16xg/pYfTq+/ouPdjXInZQZHuEBG53nR8krz3K95fH
uKTi48OaM60EtXaMFq3fxSArKP22UotBVi+Ty6/ILvHexJ0eErdzU2+r8b9kS/4VbtZ6BghFwUZY
rJa+6Q3SRggXI1WTbivdVwFIpCG9IvFJwYtyj7DBH4UFInbeD6gX4R77PJXThA5M38LvTw7xbHvE
xoY4yBPH19UP5ffMH75tCTwtaXEfI4W8JezkwKYGS33xYZMhqSNTssHGS53yp+aC4/qu3BuO4qKN
CZuP8PJEft2GM9wR9B2oucwCBgtIRYH62/z2QHvcgEUc664g9+9fDvGlK46lch5iMXdolMmjYuDs
0qPQQJlNOCyQPGNjRX45hxEFGnpzKFB4YOv0earMujTxosEKkdFXnia86JobGWb0l8ey9rnwf4dN
Bfa4DlDD5ygjpI2hZYbTXi3CGAmUpGzJL62O458IH+jKs5M+7jJrtBrMv0ZZ2EP/xaMw17s8irUY
s8GsOlvToE69WNYRtQceqfOyVqp7vFbRrCMtwcxYG/JIa1P/IQ5CIMgN3tYCfCG4EHi44JCX6+QW
na9OeqlacRL5kWzBH1dmZuaAzKgLXF7Al32emaZrITODl5lnQP+j1d44CS5/tLWdCZwKsC5ACKtg
Ci0OW8vI8eiVECEhrqE+zrcJC/OjVP4aPIgp+luztBXQWEDqWZbFE8ASOGPR137TAwU4tdrLhQtg
hid5WyqASw7GfPRggJglGS6dsBNZLG4zFSTvTGzU2TLMvBnBFKI+u0ZnC7BZOJgjj3UHT4USvvNn
Zy2KqPPuxdkHhcXF51UYetfphA0c/RgAmXDBqFbxTeUQJYf3LNRCdrNFiJ8HdHZ9AiU7n7LzVa1D
KMFcqi1KUCRMSc9TrxQmSouj6sVFsgNmzysoeUaxzVH7dmPvLdbpl5iLc6pgIADnBmJmgEgUtV9L
k3N5oW5FWKCQEkVQE/4ZqSfR3tPiIGvif7kVwPKQcQeDNQCo8Ww+vNjXqkVnob429WCgwj2tdvVd
FoAw7aM3DJ9wGmwyoWYSx6ep+og427SDWgK1vsXqQAlQNaYW/WseDM94+WM1dr4JmYTM31oVy6Tx
r9Gh6oamDzFV9H4+HyWVwbpBV8oUOmvl8+i11zDg9qRrBTre+95D2y7kP6pTvbs8bcvt/iXsYmVI
UcdBaEPYvNkXj4rXYpTq4zQF+kGHoNzWzb9MHv8TD+pfs28mMpxFPMBihrLIB9zLDvdo7sTP1b4K
2NwxdJR7YEZR6QpYUIwO6jEb9+jiBvqIPUuTAIM45x7m4gZiESpMzMpTrx5QG8lr+tYlRHewIbdw
3auR5isBbw0EWk4mSkGtWYwsReGV7yBiA5KcHtoAa/3B7M1pB4FGBLIda7FABequHWQKsGhQBoBA
BPPRI77NfrJH4jbgrm2Em/93y/0AbrqOsjdkIbSlY5Ios1JB5X4+q2X3JN5EgGevM77OvIb0NKeL
+nNxmJzfW7fSl9MFG/E88GLVjHIVV72K72kDKdaYd3Wk/cHa0LDJZ0UPVMGW0oJ2nuq0MTG0aJDR
ZJSHG0vKd/Vs9nj5I64tjfNAy32uKIAVWhhKa5dPgJ5BKM6+VTO72IizYMSAsDB/s7MRLb6ZmJgk
rK7Czt6LK+onN2ko/RCuESSHaEvQb3VQ8w2O9yf8OI3FoED6a9u8R6yp+qXYP9IK79z8X0ol/TUg
E3cmyJrAtiw5UmWBAiuBIaw39g8EBGaoGm1ck6vDwAhwOeMYhmXI5zMYeIlcwnZLPao+CtS0TOsb
kbbW8pIc/dc4zqIsj6GM1ij3IcowX2NuAdqnA4nA684xFK8GHQD9PdOhW3oJi7T4Iyy+mwp7Vgh1
QG7y8+AaAh90NcIKr2AtjyQcstjTLLZiKW6v53cw1Lq/vNLnBbY8Lc4DLsbZKqVV8mi+WsjgiugJ
vVfH7EjQ1e+XAy3rAv8ZGpSZkD7CAEFdHINWgzovAzrBA3aKe/CdRdPJiTwSwiRFddjNNnV37UDC
RfLfiEumq270RWcVGFs7/dCK+1R+2BjSh4TBl68HmynYAUN+FaE+T1eBvlGLMzgFi8uEiGJBgATV
kndW6xDkhfpf9l5VGrrLFqDZJeQ8pSkYqt4ByjA34HYEDIXB7SsmSBgDDOUkkR5nN3iw/LBA7anr
CTNfliIQMnm0tKrfyTFEnPuGKm6sgBxTZdq0K1KqHeFIZl73JdF/typXd1zl4rFjUe9O5ai+WFOs
gvZFnarv9iPPbm2peMrG+6QfjgDXHCApesy1SndY0frUGgHsTm/qTqoA3kYho6jfC2F9B6bFl0V8
aph+sljyALG1H3mrnsZJewR6Fwgtmn9PQWD2YX+xG2pMqDHuuxGeX3L0KyYGVD2JdIJGh89T2FZZ
FVJoqdYSf2rzq0ypn6nVqa7N6avB+F3GaRaaaFSie6Xe5i2Aq/HwXMnyb1J1lZv2mltSIKla/Tse
Q6hTZ+K+0QlA6Oa7nOmmn+dZgn/a/IaJTaABK+5YCntqjOwVvWToMYrMcCEbnTzUrbJFu1k7pLB/
/14YiweTyIQSaeM4v6NHJaA8vs8VG8X5qttQY1zNDc8jLbYVJL57Oy2Qq6Hn9jYzcuPDlDmdY4Yq
lHE2VSNW99TfA1PkxctTMUYugAxB0tQiO8tfWvvHxqYiayfSWYTFEUhokmpt3CCNeBj89jr34GIO
ch0cP2VPdrYft5en6otMiZQRqaW8w7MrdyOmekx/jtDuvDyqrc82D/qsdqMBCdBrI15eJbqXkNxj
OAQvR1g9yM8+2/wLziPUIDOUFCsuaV8SMzkoUxpoUJxvgNu6HGn1btQB60dVBRYVsGb/HCoH9Ekz
GgXF3AfrjgTM7yESvOOoABCXh/Wj6lTu1ptkdZbOYi6GlxAACJQBs1RqpTMNFkCur636ujGy1bWn
osiKvoAG7tFi7XG0vVogeVJPvHFPeimw9tKw+T0/7dDW3KzjrM7ZWbjF5Tu1Sid384sfOdMdEcep
tZ2csEMPcNvGyOZ9+eWmUvH4wJvgw6Pg85zhWmpJxHUcSIe5PMV3oOyEjQvA8n4j0upS/yfSTCM7
X4iK3ul9DtwxoPeuAn3RPYP0inKvt87whltPvmrQBig3Zm4r6GLihqTM4fGAIoCUalDLP6Xyt41h
rS+Nvz/gl3epJrfAbtagGtdcv84pKJPA3GjfUloAswAcheYQwmP032hVnTgsAXwKGV4L1RwdtyAI
Ac9mqkbh5Z+19tjTzz72YiuKPpuMKcG45UMUsgPfNX51re7+bPf9M/jF7sviNp+Qe6Rek+D8yrT0
Bk5aR7uJby8PZ31D/BNnPgXODrHS0AQqtdh/XQqn2vh3xeF9E01u/u+I43+9u86/2/xDzgJlqgrA
f4Pv1gqB7tubUW/1F7fWyyI1JHpHB2OmVTRe/7vaTz/EEX2/3eiSHFQI3GNbhZOtb7dIOUwqU7lr
U9D4MsuHb8VLU0Qer02vNdlG8X51t4G7DJUyyPvBG+Pz1wOqDXDwCtMEVd/nuNFPYwcaz+WlsHrg
n8VYzBAzgDNW5zSAzNJG4101PAGcdjnG+jhQ2gYAYO7VL3YP7YTO46jG1W++mun3FNX0ywEWbPL/
rDOUCv8bYbFxpEiy2pjOycU+3bVo2Rl7PVR89bi1Q1crCTCG/DvSYk5K3tUA4GBO9Bt6T6BKAHil
A/bFvbTZc137bGh1oRAPICEIK4tQg5VCoV9FqMiYvM585MzY+G5rk38eYTH5WcXNRqKIwBRYgpav
xlT4+fQvBeo+XqTnURZbFFdvo0Umrt8kY24O+Sx9q/Y377nlrYvvYwF3hlIqNPA+b5RI0lpbo3gf
Shae1eReSY5D8mzUlkvqKwifuZeX2/yDv4RTVVObhcggWLcYkKSDYaCqYPKClIU0086F7MqRaT0A
OZXvq1jwO6D88tG/HHZtttAq/Dvs4uRJ+jobrBK1ks7kXixr70KrvlXGtIVpWFt353EWTx2pnYBv
kZHDmEA0KBgksk4SRqgeAEkWNC6oQBv30UbEJeJlAJgPnkqYP3Az/SEu3bKRNh5wGx9PX2QuksqU
CIByVHzMyu8h4WsPb7CTfro8RVsDUT8vRFvtiBgEosBIyOsaMMP0ZOMwXS3wnE3PTPf/dKcCC1XY
AtMzdw1Ut3UJrK/mh6gWxG5y0DaWw9p9hyoSLHbwN0r4iw+XVpShKUTRfwHIvFReE/stVVu4kP78
g08HT3sduCPYHC7bx6TJIfwcYViA7Ib6II7asCVYuDqUsxDzGjnLRjiQgEAStxmWWX+lVPJRrwdo
PzLlsYzAG788ntWKgYnmACBjH/LKiw9XEMNgOrSjvdZXAgA1fb6DVVTqTgHqO7to8i7HW13gZ+EW
Sy9XB7CRUGzxpF4+RZ1ypZbtS2Xq/2OYxeozI17oFmhnntDfqiyAJoRTqcHloay+fM8/3bzNziYK
NWEbxG6suXmJ871K/RrViffqW+OrgXJS3mXoDZSgoW7M2dY3XCyQqevRRICysVdSKAFYb0yKd5p4
3Rjd/Im+XB9nM7W4dUlmKymdPyEPqHDhWQI5NdvtA4jhgFLmAWK4cV9tDWtxXyW61AFHi6Wh1F6r
D04/PVjqn2zfs0EtLieATYmcAUrrAcbvChAs62oLmbV67Z6FWNxLdT8MijQhhEEjvyfJviPGraa0
XlRId0yPny/P0+VwUIv9vAjlYs62TYTTCZ7TgM5Me0BarPSoq9X/tO6+eL0AQgwqsVTOmuHSD+Co
vsdkMAH2qLa89tbesegazbKtBDgtfbESCkvpCDdxyMK8YS+AuPgm+cyXhBd5pjv7I9eF0zzlIejo
0P7ctLn8f5yJ/8RfrBKd67FuSg2+6U31WAVlOHdLpxSpxexvvvVU++hRfd1p/4RbrBgoeYBOHGO4
c48WwiQANMPWEIO1rrTcHf25ghZ79FH1GpfdgIxq/QA//fIyWr10/vnkXzBEExkl2uA35HLtkuT7
BJh7N6JjwLegcevb/O/RLptaFm+0eiCI1GhwPypib7ApBGS28NarOc7ZgNTP+6IzKATE2vmjSrcz
0z2h5sYn24qwuGMKpVP0zEAErSaQ2808Em3s7a0IiwumM3o0RCZESO0aqEhoVZCNtGkrwuIqGaUx
oiPFb6+Nxwq3SUo2a41bIRb3SBExi5YM7wHlpn3W3NxLHkxfCUGyDKEsEMTeltX5eup5NvWL4wO+
FBrp5hytgUKf9XM4VWCRfig5Th4XTg77eP/y7tla04sDA5ohU2/Oi42D0Gdz8A05veEcAgeX46x/
SyCqgciE/cQSzcHyTKR9CpMLXli7aQCJdWJFvnEPr+KaAMLU4XANyD2EQz5vnZY0U0QLLAqw8Zor
mKOlOygD/AABl0HTxtMrl/vEn3axHvbxxgg/ENpfDsOz4It8FEJFqRZbCF5cgU7wPJzqd8nV/ehG
9sA681q3fGIn07fvJoAbc2gpQbYS+p1D7W83g9ZX0tmPWRwiMrd78HbxY8rJgbPsrrrJgvTE3cJw
ytvMqcItpMHqBJ8FXJwpNIL4E5vzk9rMXN04KIa19YFX1+pZiPknnGWtpjkoo1ZAmQIwqjfjyTo1
aBAGgy889FP380utDPlRrqAGqL0lz5ARgU0yBE0C29vK0rdGuzh9uhEIT93A56VlBM4XtF+Abri8
Y7ZGuzh9ssHophS9YzDAD6IsPSI/0sT2LgfZGsfiwIk5RC+oglmr+sntZx2vJtoYxxJ0+1GeOt+U
iyNGSA3Muvg8bV04vhiHPkyQjpdXUYJ6hwkIYAjK9ZWxm3YEErWXx7eaY54tmUWCAm6aaTQjYlsq
VBL49QQN+RIAgUaVvaa+vxxsNftCUwptbBuQITCmPi/Qvhpzg0goxMHJKMfZA78rj9ylj7oLuR53
C065NndgbkDI2YSYKkBKn6NJDHr6pEW0uhPsWZcnbDoNpj4bg1pLaWejHWJ+GKHZi43dyrk8DBxh
5IP9UoFfCybFC0QYDtQtQIz5HTm6i6Y2CoM1HNGie32/8QPWNgLkqgFsBB0IVryLcSaspL0ho4ia
/jbCDnrH03t+kwRtYDh24jII5qOj+Sf31YdPrgk0PJgji1FLEFyPaxmj1pPCYaXfQBHg8rhWp292
4v1PhPnfn51mRmaAVRwhwljTY2b2/mRv9R7WQ5i4D3UwU+VlG7jDwocE4zyItlB8CcI43khrEVwe
yOoCAXfvv1HUzwMpijgvQbdANhniCRDSkITC3+7dLRlSH+cI1C3BqdOV2b1ucVZpYyfKSEOcxoN0
A/eiGnA27GxvhJSO2/0kPtuEEM+H7PJOn7l7ENyCYA2AxJ/HFmUaMCJzyg91JyU6FsVNlmR+rmyB
AVcrMrYKJAJwvDYBsOxzoBhwuThTEGhmJswi9J3wcjymoGtL3NyHYFX6AGLx1gpZmzvYZKpQL4UD
xxcwG2T6gDmfXwKzTws5dju27/c0aP+g0XYWZolgayorNSoNYSoGjQ9ROiAWXV6Eq1jv8xCLmQJi
V8pVk+ADRv74Uu01yPhHnlKFdRh54LKgeqvtoOBlQjPwD3byeejFBtAbyNNKhYnuCAxe+/qnmSsb
W2xtI4PGoc9MRFn+glSpoFA2kBplbxJDHlVzO2H7l7/f6lMedwmWnmVBHHNJP6iAIuugHTtXLgZf
D5oHUjrQSwrLkwTLBLx4wnIfAxbDbjMfwnpPm4LV81f6stX++QFLvAXr8lav57L7XEsArNItHsaj
6ZphHUDTbKvPOCcdX6JBodJAJXz+qIv9pvagttIU0aLup94/cFm4mnQj8VDtXlr6bw20P84uqAf/
N9zyYQLZdZDX0Sjz1NCEGpuv7GxfuZveuN84dVAcitMfLcqziIv90NmQOIEoBh52yXhS08yVjf7p
8ppZXZVnIRbrfgTLOoYPA1BGVeJziUPnZyrvL8dYPfVhJAN4+exNib8+H4y1CgPPjEkIclM+tz/N
XeoDDuAqkyO/QXzTh9vwxlZYPfMhSw/qoPzRk/kcsZOoVkwUOTGyDmdMEl+Uz3IDhzSoFF8e3Fpm
Y59Fmn/JWQrQWDD2UyS8IoT5pCffayNzlPT2coyt0Sy+X/U/2SWuX2NnI1rk+mZvtDBiA3ij9Udv
uDf/ep2F0Pd9bb3Ja4BEe0j+ZBlaxILxK3SZkXx//op/4tG4mtnDJOrvGItkjcHpWikYxjW4EANz
E1ccLa9zpoD4VbiV8a4sC232Ptd03ZyRI4t9NUVDo0NJKQPB4c3CZVnMkN94y/B15WmEvhnKJDps
5k249H3+bMlArNFgeF9m5l61mQvpYQ+KzNB2eqJ/UtOEwoMCM8tZNVxeln+UvuYa8sTM0+D7o/S/
DZFs7KW1BAAhwPklc5EJU/V5PDV6m1mjwFl1As4qD8aXLvHSHfVL+KCHsxwCmHtZdzUXX7brLStH
IYJDGwOMlJn1sPiYBs/KNJptXXvoV2Z4C9mmvpEDrGxkDZwXNMjQKgEqYrHM0QI1Bl3FJ1Q5Wgm1
4hG4wEH2r26+Xz4x1mpHnyItFntswr7BnvtA0Imr3SRy4l2LJAotQeOY7LpT7pqPGyHnJb24jhES
1FFDwzsPhoGfJ6+jslSX8I/4ODcMw2F3NGz8yYPMe3eCX/nWYpnfjBfiLb28pNIYzLHDENUwCkEJ
DOO9Hc7dii0a20qCfT6wj7Tr7IjXJCzKTmBhEK3bY8f5UAJ0i67wKwviYQ2HNmSXHwrxcvmDrh0h
Z9/zC//9T/xd1w7FT2NbrEhR5SB0RjhBtBBYXE8cSR2mbusluyZUye4PKowaxL5VkPoB1gaM4fMa
iaF7ppoJ1ojJQWUCd7Myttp3q9v4LMTiQjZYWRZyCsVmHXYAKryhT+V1H/IdVAbbQI4OUpj7cSBt
7Oy1HAcjg0wB5Fuw9pfQDAsKRxoxCKwB57I/9DCgbgI58r3kkhAMYCBiZ4eYjQbKZtTF92yFqoGP
jsHyoH1WrrDTvTfulvsWef5MUNjadGsf10RNCj4ZcNGFH/fn+UPvn2eY28xLi1ueVz6YF+7lVb+W
fkC64J8Qi5NLKVTepBwfMnoSweTzfXVjX6c61iQYBNDV83K3CbotQYu1tsOnsIsviYHxCYCb+cCc
SXatCw8u1NhfoYaqhFArBoU7vhkLl2018lYvvfMBLxZsP6ELhmbNvAU9AiOc8mY+qyW/foMNSA/z
g5dYc8Gt/v+48lZeUJ8GvbhvE2MQUj1g0NAsNN2Wsbcsm1qvBefpFoqKoztEMpTUujoZN6oJazeh
CVElC9gfpC9LBh5U2QeWcx2HNx2hpoaUpbmh9ndwvS4vp7VD9P+I+7LmyHFj67/i8Dt9uS9fXPuB
S23aWlurNS8MdbfEnSAJcP3134Fsj6rQnIKn+9644XmwolrKApCZSORyzpEcMWuRDYPmjC3kqHUd
2ssl6/exLpHxB7rz+2I4S8zxG8At8cc9LiTfJ7syTCJjkwbak2345r3tmxhPL7dZE1Zfz69t9fRQ
hwOiDCIyzDGeiq3QMjpmHcRWWu/HQDRwtDZo7AO6BDHV9nlQtufliXSM/AWMvgvwtyGrimlXQ7CR
/2M6xhVfdfJtBbuKOyXO1QUUXvYtj/Yd5lePduhsDXSWsW2HkOQn0sEnEoUD+TkKuLVazIkU4X3m
HpPQvmMh/BoJ7VqN9ES+GOf9LzIXrmW8jr+LKdQV/ndo2lZ82cmXEMzf/p+heF5XbxP5UE5+BIrU
U+tvAVdpuTWI4D39zWqYX8qaWmUCBD1z5jTuihYCeuBUUVB99I4Rnvco6zv3sQZBlfpsTIHL6yFo
ylxfqY2w6h/62fMVYHOel7RyD+CMfpfkCorSmw1QgwYshqnehOc4mvqBukvpi9FRSbZGJkpQh77F
frlAzAc2rQZ43LdZASdTLrk//0CI6yC7hX5gEYANBcUOXCppGY7kIh6eM0QmzJQhAKxrABJ3HkDl
OOn8qYqls5Z5ZorIZBlYBF6DHfrins6fy1r0AzoPFCYxlsAhEAUto0hExS3BA4SDGxib6RLMvqGi
RUN5BQhmcKASDHodMgUd9dKCw9omHssW1C/Lat64jRdkpqDqhSCksGwALO3PL5EbovBOPV6hyDTL
3AT9lzpWGLf2HlQf12O/3DalERATmY3UfDwvbu1NcCJP0L9MoW4JXFceQI/vPMlglmKYN/cVULv4
WkDABjo3W4nUldf/iVT++dEj2c0KB+jjaA6iiH5AfryphmgAw/17cu2ZyqLmNdVEgk1FTGKCTlIs
KNMu7/uB4uiUEuTKQ3zjdPPmZ5YETFPA17zHdlx9jpaEUttSJR3e/cNGBcmHz3MMzO+/GG9llN1L
33Kr2ngkTrC2DGBuqPViSQBK1jZGWBRAeA7dhyHIswDEFBhVBZgy/foTbzrAyGOGCmls5L5ExDjT
Bj0E7Xl6gwyBE49+08re5GtLOxIhtjmYQMUeQMPFjVwNtMxH4mtnAJcw0AFVxT6TZx2p+UA2GiiT
KhjCYmNKWwPHPDIBuMDmQ5yVGEB8lmgJ/yuieR+vTVD8OgGhCFgHYW5X3V7bKXdEeUfeNKJ62zHJ
hbmWrzk+LFt4gANfA1OpFpTEY4HjL6EJ0LvuKZ99bzttm62sxLbqTI5Xx+3wyAZylw5ezTOWJrBF
iReMYDANu4sSNe0UQ2qvwMWS9yTLDo5/fiS0URV1Qi8EHm0gtFqcK6IDD9t6OX9w3Ln/cG7oxXzv
iUF7iHBu1NXarE3w9n3PfGEKfdxgCl2+g2uOEf0n4DLn/S9A5DxdzFSVNVErXKL1pXsA5wmm3UfM
8Hfo5i4Daffk2qrwStMxh4QXIeptp9JYDcIJAlIlYOgEJoAQUQauN0nk3IH9YF99B0lGtQV3Anp9
wK0SZDdShVk7O6Bhg0cFM5kYyhXCUkdP2zkbYQ7WfG3173UWkwTw04H5AOBd45kvXP70kokVwohS
I6YFajd02rH7vnQiUMwtXicZK1u7dI7XJhxlni+IHgn0ss/At0KvQYwoCVPXUgmonyPcAjQRmGrF
CkEDGMT0fZIM9nZJ1Ss1MKoAiRht50TpNTGDTt31VaAc5M0566v7EC2YuppUo6WMMHXNZl80ikGb
SganvVaWwLVpAbEDZTEkEET1tMjC+3T4RZA+TDF6E+A398nWu2quU8ufd9J27LVVvQfJ0EUAFYtV
nRRECOqQQyKoB76wSz0it0nE+40MDL4iqVYHsqfGqo8+Fil4FkMBjqHCE3rpnn7Wo3YLyCD4y/kS
xQlpz+7aEwrGhl1FHg3swYJOzqRI0yTTinAGMesMfg0Q4YYlyHfs6st5h7m+k79LElNp4J6hjhXD
xAYDTNbpoSn7/XkJa0YMtDFAPPPXBuK6U+eVaHPXTVw72kk5LCzfL+o+V/zzQtZ18EiKcDxDmcxm
1iNtxmcOk2RDg3QDFibA+oTNXW756eEnqh4WnDEqHiD7tFAhO13X2OBiGFtQNtZpet/lw9ehnX+i
D+FEhhA91tMAhqAlKcD5+aRnk1+raFkvfibKP16J4N1bVO5n1UZOzdyC8yYAqF4SFbhZ0I9+mKVQ
H2sah7SmAZoRxDSYyTrdNzKOdO4LCwM6WFDTv+rz23ldWFO4YwGCy6sxysg0zy5CI8vHHVPUF2tQ
8y3YvJ5/TZCgAY0NnhcdHGPo3USiIwbYTQla4an781kBjnOI4jmHKP7hVZRVVWr1PfIpxFJDgpGd
IQGZUfVwfjErx3Is5d3/HYVnhtaSqfNKcLqNbcAI2WmDDA6B65EQnCGKQe8zeMnQGC32gzRGW3i0
TovQbFrlU6x3+iuoIlM/HRUt1HLHu6hYLqvzruUiTqQKNpQULshFqYuMseXbYBAB9fZ1XuEplkQT
YMwAAINyDBiPrTfEb9JIcUUZT6QLtuWlFLn+FtJp7rzN2Ux35dCzg1rEsuLLuiQLmOeA0EYhT0iG
qYXV5oC1BVe17UVT20Ra3b6V7SyBE1jztFjRhxzBnyuj0gLZNi/hLcbPIF3Ndu3WDfV7a9vZvvVZ
38kAn97Bv3/Umw+Jgm9fMg68nkJvunCMODB4ce1tPL8GhFZ2Z23QeXbwgizzyycXZG8Az/RQ2Wt4
RThcXstHaTS8cjuf7IDgwSxSK53l4PvQSLmxLksQmEYN4MmULbtGD/LWehgey0D2ol+LQE7ECn7N
Hu05p1zssKmB8Rvvv5U+eejeJzllwmTKJLg2YCS5A4ioYaquGiSAMezQ3SIrz666nCNNEixTS0il
uxSalM2Z56dtBjY58hPpzpNdEwxQX3onRzYE4cdyZYOcFoGVJPZY3yuQg6gqWsPg4E4vNMDGlMwr
eejRYb/6MbLj2Adsp+Sdsq51H2IEK8iG3FIHBYkPM+8C0I9vtMH0qfEbaOhl7xX+rvrR4D5ECQoe
V4UOoJ/3gF4/JLsarFha0OysO7DOBSM6f4ImQON7s6UXluJbkptItp+CnlsAjAVrqombCF18wBSN
Y5DrJUV0/r6TSeGfH913VV7qRukiU0CXvVmq+wrNTUtfbn9NiqDiSUenRlELsGZWqT8ULwpD4/TP
TKRBxz/OS9BxsNgBb7RCSIWhiCv0L75p8fjZHfLw/GLW8kY2cMZ1gNEicAN/0umeTcvQxv3ioJ0C
zdGl733RLnlSWEEmutD9lr2Plcvc/+pBHQkV9H7MC3NOPBjwVLk7jVUXrHpzu0myNq5UP6j8kRRB
5VnWUgZeQN4D01w0aOBjqE6c3z6ZCP75kcYZOXjAa4Y4bna9+ra0s+GusGsmkbJWST45JEGx+5w1
tOFU8phhvcwbv6fIOPve1/Y3tKG8z60wG+7J9z7PtT+9Zvc/8TD6+AJcUYR11mMCFlIcWAaOCXN6
U/VS4nFXXeG/DwsSBKuaQGY9eQ7qfoOieZExFVtmTGCxU8FkXypI1Z4/OJk40bx6x26nAQsq2stJ
ufBq2NmGqD/x2DvZNyHblQ3AVAcBKe8jLfyK0W9LrVxMubc7v5r1AA79epqDsRK8XYXda+qySZ0e
pczss4aWln9nEueNHuaHaiOz33W1/xAn7J7ZJsQz9bgI3fIN6I4RqVqJyq97iA8JwsYxllKaZQok
2NQNEqPZ6TOq2qAXfpFsHfc1P3qJD0lCXiYGz9tgunjxgaQQkSiIPwERBptq9+ZOCQ3J+/IP/O3v
4sQKSz93djMxnJQCWBJITIPunrf72pof389hifn0VBLeS/ZSpMKh6IRswHZcgktFvci1R6e1t2oT
SvZRIkUs3GMuq0InEvIa3j3IeEMMH1xlVz1amZude68hr/ZIvzLZSJ1M8cWZwaQFY3c18nrRv6qZ
xat3zevRvETgOr6MF2zdb/x+fCI/Yw44j5QQlPOZot333WM3pVedgRn44fX8fkpMzBUur862zNFo
YAAGQjTvt6qhEgtbEwAkZhRmkbZBspx/fnR1zUAaHypaYiV0r/YUFMWLRMIavCRgIT5EcJU5FuFo
9cwqiCg+qxGiijDOMR5gHKpnlIIlhrV2MMeyBA/oELPThhSP8i7O7/L58wwEUBc5eLBlSJYl2zjB
+Y1zVoBoAZJYPkZoIQkAkSfx59zniD7peDGC99N7u9SLBhuX2912Wa4c53EeXxlJkM9FXc+eD4Xb
3P55hTuWKfhBu2F9Z86IMZyRXUyK4/lGlsniiHetOrMyMTdtVImC+Tyudei+bhO/f1y+Gk/NpxQx
pw0AUmNHAlSg/CHSw+EKDNsW/n+DRgjZN1n1HEfrFXtBK0I1h7kI3UzMuWfR8rXMwDnFIiNA7/JN
aQeFKok5uGKcWzu/iY7MwRtM1VwSrL0yi82s5Buam36xXOXOpWdKepskSioiTxc0nqs4R+DhDYc0
rv18Vn/NDMQCJiaDQI8IWumQDnFQFaNv6hIrkK1B8FC6MlpTD3MO1dLNA5eOD7VSPJzXeo2b0o+H
gpgJUFMYRnhn6zg6lCUu6w49u3iZEn/aZHf0muJRF5Q63JUSfFuCCiM5z+xOL4L5QqaE607rQ7gh
aIRed6Cb5s1u1UOjlpFrdQA3+ULSdnN+mTJBwlZqStnH6oxV5nMTjcNlz0AEgm5Blv3EtaWpHysS
XL41ZeC6BElyCO5if2reiu7p/EpWA6hjCYKj17uuYCYPoNRDjzniKDtM6K9oArdHXYh339dX7dP4
E9gtuMo+1iU4fXB0duq8YF1FSooru6uGnQIi9PD84tY9xIcUwe/3teslSotjWoge5dUUVMMdZtEu
quJxKD//mizB39d6ujjVAFkFTzrFtLvWYzWokwkOV9UeAcD5i6sTe4B1p1cR1SCkaRrwToKvMFmS
oImNXQ0KyMZKJTq/NqByfGbi0KVtxYw4hQ0PBdpJ3hKznUB4uQRLlF7U1+O++g9YNrkhnXEnPzBE
14VqgXcPIU+Z7fIl97tGFhzILOC9+//IZdkJjVs6IwZ1H6dvLibqpt3SBSwO3tv4ME7UXNmyzeR2
e25dggPpy3huEwPryspx01TOHc1dv6jN/S8ppUivx7R00ruYl1Y6QwH7EBhPUHLcUaqipRUnF5cS
gRLHKHbOxl2b5kmJvRxcUBayz3F92S06UDIlbmtdLxwLnc0gKQT+/amnT3tmYKKVJw1nUMsTu/G7
PLk7v3l/EG9/CBEOCXS1DkkVBBglxlu6mxRgdqavBfM+P8gKJqv7pqkGpzsF7IDYLGWpWcp6FV4Y
gbA/J8DU9qIKo4KOjKtIIkhEqnDKKtEVC443bqp9674yM70EneZVW2rfz2/fjyrO5+QAzgIacrTu
iQ1RmlOhjmmBcpGylwKpUAYC11aRJZ5WrJeLAbYCZqlWOmvI0FplUxUct8r5Vl+qEafDTSm6rky/
vgZDcxzKDmvFE57KFBSjzdvUKjibZPml3muhc5HtOEUSfyebXchbVuXUEj/eZacyhUggMVSU0jNw
clatHVqDRn28anp/MGbDx3BmH9YyYsT1A/zYWa5KR36RjFNTdj0kItTZNZYDskego0spEdd2E9Vu
9EZhoMsFZa0QC+QGCB4dAwwQY6BtzMDY0VeOktGDyagL1B0J5x3506EwL7B/iBQCA1Mvag0MZuC3
woyCp92NRJYO+NHOTiUI4YChzXnZc+CvPsfctNoExYKOX6vB3EK+OW9oKzH3iSwxVTQXbbsoCjZQ
uWCh9S3eIu22dfc6Cawn7rRY1F8CO7/YFIqUE2qld+BUuFjwyK0pd0FeF5q3Q5gPwXDDOcOcDYg0
Q3YB0EbQDy9Bmfjdtpec4sqb81S28ALMMcKtJFxzzG2yw97Cq4VD4pPMR3UxKAt/BsqK5J225nCO
dUe8ejRzTt0UPbRhfglWQDQD9VfTDu3xobft93wMX5YdXrFDCHQ9cEZxAAXxEnfT1mFlZwNszch8
w/ytTK5cW1I5/fE+5Tv5IUOwdQBu4lZSemBpuVWQOwcnlqV5VkbWTkUIZk6dqVSXFmQ8BQAv2+sZ
08x9NOn+MPgD+sftfRcVn9g1SUPNRboRWOcbGfLle4PHadh1+h0Euy9Ht88A8w8U9dK4Wqrx1uro
i0XivZGAGXHS9Ft1GZGx0OM0SJ1JErSsuPCTTRZ8AkEnYasWkN4vw721uLtaSzaO2V8MTrOfFOVR
4he4+p9ZrcicgTapLGYTeGDzfXwg4MdG/ycNR47G223lwBTvwAzn5AmuIEknz+4ovKp2b2+zXZ8g
H29H9SUnCtF8vMovwN5RBPSLusFgQtfBvWebn8DUPjljS3AKbJnarkmgynrPtq2nhq3nfslJEXmd
rHTN1eXcgoUotCN5t5QzR/VzH3vibdMKTTbjHE0T73A4AOvBlxwp71A6J1GIPDC5NcUKadHmfjld
8gaXZF9fm7ufGUU43UUh3DD1AUzPLc6ytqYQrImBp3wqZZDzEoMQy2wtmbtJ415nttV9lybbrAWi
SfOmZs+KMckct8wcBAcUZ2rP2hrmx1HiwP4aVuNef+43S1SFebOZpf3Q6zHA705VnFUEVSqc+fhu
fy3msB/ALx1qALR8QtdtCQh/QE2O9wy0xlLoR4k7F0ebWDe2dJh5fFO7gZ4N12SptudVUaL7YuFN
6UcnThITNIJa1n1SEge5VxLTgNMDXaAft/xW5aN1nQGbW1ZilKxObG0vG50xnavNO5l7X2PYD2N3
6LCw65sx1BEvKg/J0/nlvqPqnLE8cWzGwQ1ZFABYCcdb+0opN8MGCEMUMIN1WPymIFcwswN66+aN
nYGnIz/UW10GeiLRJ3EGqi/qplE9nCqGCNKIg2VUgReN06acAbYyhxiECuogvSplAAjSxQtup52y
Vi8YTMfSEIFE9qFCdOeGmFimQ0TrTYlcoXrJhwoMw3cfqw3ORoaSKQmDbMEjtXOZVqmS8qHc1rfH
KjCRMtGBXHn+oGXKJURCytK66cigXDW1fJPcLrLysUyA4IZI1ihVs4Cb0zB0JWJ6nl87xJA5H5kU
IdKZAbflmguW4cVgTo9bv57/dKrn5IYQUxZkKmri8FhqzNLtUo4YWLvvxiQyh7fzJyI5eDFlEc/g
Ou45VrSW9GEKBSDMuSktS+LQVppHTxbkCOELU0nrVAkWxMLucvzsXEwXcCm+8TbegO5MomYS9ykW
lJI4c+O0xvl0yvQFxdVPtB9DzwGpJ+mjAogAoET+tRhfrDD1dd1bSw8PptsX2gRyhuX1/EH9wVvw
9wvP4Up5lDFIU1qqGPSG8YMk4MEMNF/76gHAaAztjXeL4TRwT+i7citDvZQeneAb0AqZjZjl5ax0
+sHaYBo1iDf6FyPgeHmyF6BMHwUP4RVD2Y5sQSbGhBOKvZBqYKpRvks2U6Yhgp+wbdBUqyW8fdoH
5A0eftNvzRcDS2t2zuO4cb+oly7x2X8QyUsPUvAejpmw3OTRn5L66kEDvTTwQ52vxRaE8kCs3nSH
7lbdlYG17ytJiLvquDwMdZkaSBuBKH2qQ/Yce3atQ0sdbfKt/rqdtV+UICiL5ZIk7yfwDLVJfhPr
6kMdy1Aw1xXyaBWCjphVWuUef+qRNzSH46ZmO/2+DymKJGhIkniu9YfXkTRBVfoB1QTPTviEmqWo
wZyn2a3jdgvK7iX7FjuxhVGAIXlpF7f2WZN4e2Mw3KuybocNaFuUjasaXmBalfo8ZAuGVElCokH3
+p05pPqlndWg3kjTJvdB0IRxO2bm6ua8usuOXdA4U1uQ0C8QHeuU+dQpfE3WzSyTILy+J9Nt0eWB
I3HsLRAv/dy7+6UliLiMdQ56j7jGEkxnxFvJxY7l3/68CAOIIaDK5Vy5IiKjayVTwkbEPGWqBrR/
KLvv5wWsWv6xBP6IOnLhShZ7g7LAhQ8b7xuyW1+mhyyCy4my2K9Lv3rgCqx9Tw8yMp/VZJ7hmEDZ
8oDHr4oo8ssCqg3Co1saxds61C4WitaViTOPcRDt7F5mpGsKgcKBhb0EGArwZE+X2napV6Q9lkq8
p8R+ILmspWOlzxhkPhh60CxOPOvqgqchkJ62OiSMB1r6tA0q6pc9+mPKDfAKlzlw/fGySiPtDXNB
9k6eklnNrR9/A8EP9Uz3OKogP06VXCyD7yGFGJIt8hToUuOMOtabYvv6TjZTtnZJGkB8tTTQ3QM8
V0iNWMvkGtSxoal5E0wMre/tLWiMf8KVH0vhR3ykrQ1rKnNqsTyleQCejp+gMVJiEHyHxHffsQjh
DIeiyUem4rbvwmVjf26D+FMW8cdmttcwSJ1H+lfvkyzEWFVNYK/gPxtgoeILtxkya6It7HwZXeDH
D/HOHbI3ycpWj8hzObAxqCls8UGVuDarhholiuJzdj2FzmZG38InLzL98qW8Hq6rjfJcPZ0Xym1K
3E3MN9uGBpxhHaXB0wPLXDKQwnXxLLG/qfZVQUBzlahRa76MspnQtYM7FiXohkMx1Whxag91McMk
yfxevXfUratJ3P7aNh7LERREt/qJWhTbuCQV0DqeDNQ6HCQ6z2/cmkZgcEq1MRVqoQdUeJx0ZeFM
dqZj43A3jiiux7XkPbcas5ioiqnw/9A88UGXNaMZkxJnw8IhpHf1BjMDGN8HH0qoX8hqN+uK8Lsw
8VHH4sRMzALrMav7ItajZt7F7jcze+6ojHtLtjDxYWeqfTPmBug13Fo/qID33GZznAWLp+oXVata
tyBZTz4xxQUEUK8bEXoXlluv0OaAuY2zOX+QK0gXcCcf2yy+/FIM+yvtAH0xt/ZBf6miGjHZhRfY
vutPL5i+ixIA+B5kG772nDgWK1heTtgyYuwbDhnxAwAT5mLbTHTZTXNlb3rqUr+z8+8L2AOi8wuW
nbRgh3ZtkLrj472d9jaQPKgmQCHVh1zXw8am4Xlh68b4oVaCMWoehgvdCqu0mqtyvM7Ydmh/yt4/
RHC/c3TnACoExs7TyJ7D4+GHuXisx9tfWwbf0yMZntnZqTViz9oceBD7qqn9YpL4/3X/+LEOIeJO
016xmYl1LPG4q8zS8ulo3FYZvYqJ9ecHQE+VXgi+mVOgAWnGgrLsCcWuwvjW2hI0WsnRi1XwsmkU
kFDMyKvlICgsAfy16UGsE1nmIHPGkq0TpyTmaqlJR6FlrMIECBwlAZnTfAOUkM0v6cEP4xHz1KcG
9/qKAVjtLAnc9C4tZMtZvVuAQKjhXlZBPiC4hh7ANNRI4JGSFvD4BhreZMcvkyD4gLmvPNv1IMGa
lbAld4aWSLyMTIJg+AnNW2vk/RbaND6ZVhulWi+b+F4t/ZtHG8X14sgsXZAl0smBENBLEx9MUHjY
J/4dHqyg7A0ZqpmyNO6q8zySKDiCfjTTxiw8kE/lSJ0BwNOtLuPptVI2zWRJQoxVAzqSJTgE1DIr
os5YXQvc8TL3x8r1PWnvFFemHyLAIymCJ1gc6g4TD5fyS/JiZT4HHHdD7Ta+oXt3p+7in1EMXLgg
oEJCHeH06ZmhVdso9MaE6pXxBajjIzuVVWVXN+5IhKAWutkMc6VCxFh6t4tOtxYa6302GvfnvcGq
jh/JEZQhT+p0wGAsXsjpUm8Ve3HwPjDqn/GjeBGrBnpNAGUmHFAcj06HBCd31QCEz3J/mextkv6a
FDH+a9BtgqwS9kzvkj2oZw9aoeV+PMUSOauu+mM1YuynO3Pm2DXmvMduKDesL9Q9y9TUBjlS8z2p
6m4Ozx8S354f9PtIoH6qbzFF30jTZQAnz5b2Ko971wfxD0r17jhdWlMZX9Gxmi7RnJDsm2xgmeTB
uqokR/IFZ96BLT7JVAS7ntVEgznfeJ335fwSZSL450du0FCbYuy9HnBwTeHziS0C2ppfEyFYrWkX
eWZwRrzUtsIlXx7T2CaSnVo126OdEszWZLOVly5klN3tVFh+oz3oNZGow/rj40iKYLQxgG4pGI35
5RpwHBieOkiBSrJXQw6EQqJf2zjBibfe7Cysgl0pNN2MWftbMlhPf1IEwNY4hocNHFpAZIqV/2VY
1KLgk14kSd7QG/pJa8E3cl7Gj3nIdyFIzQHkG13eYlO+VblJovCmfD5GzKGRy+YwkbB/rsDwwftr
Xdy23bDzwE/7T937r2/T/0teyad/Giv9x3/j52+kmbssSZnw4z9umtf6nnWvr+zqpflv/qu//9N/
nP6I3/zXXw5f2MvJD1HNMjbf9q/dfPdK+5K9y8R34P/yP/3wL6/vf+Vhbl7//teX76BjDDPKuuwb
++u/Ptp///tfdec9u/hfxxL+9fH1S4XfvMvIX7bdS/399S/fyV8ABbny268vlP39r4rp/c1GMQGz
77bOWWtd2Pf4+v6R5fwNP+NoLPwPnC82bAahLkvxa7rzN7ydwQCqY17ec3UTno+S/v0zw/gb2ug1
ZKyBaobhWETM//6mJ+fxcT5/qfvqE8lqRv/+V24yRy7WtJGgAI8UwP/AJWXYIprMgMG/xBq1CYgh
0RI7/kgWP00GkMTe1fnX84r4zz71I2mOC9YeICFboFBDkhhTbafezus61qRj0UYNys5zCoqWDMNz
nbO0l7k1Z8YzUfulaiKjqgcj2ena0rDSxxVTLV9ao+4wAY/0Q+27rO7xJElmo7SCxe6JsmxbfaTQ
4KSKp7o8oCisavmm9zrmPlA6amoRdGm8YO7adSlzQeSgxS1opSyiEgIYYd1LKsUfs3EZcl+pXI0V
/tIx9TcgpO/a1tMvjXIpkPmqcxK5JlW0rZlofLawMagL6sOkp35RFZ/0FK009jSYj4utpzdLYUbm
WJH4Km/LxLoj7gw2+MGyX/VFY1eG2bn2rrLH7JCWtHjVACqIpJStjbzj1h0av8Go64tVDMo9iILp
vTIa7YXTol2kHDL48dhk+Ed5N3Rfi2YC7kbi+onT3M3x0n2CZgIqNem8oKyTGvjF9cbJxyHytCa/
KyalA78Ia2O/KKZ8p+q5cmWXZNmmLb6D5rKIpehKAdigj3xcF5DRMvxUt966yVVuc9K3GEupnSgb
uoh6y01uWVcJSQuf0PirUmjX40KywFGTC0tTkmuvwpqUOr6vmvmSdVOJab+EXDZkVCPNnsGOYzgY
jAbW11PeeJjI1+ons8imnUmNl5QuyDdmzp7Vwy4pKNC5SnNj2PXsxxaa68ImSS/tIXWCuG++NCpt
fTNVv4+E4Lt12m29FAevUQ+mzb6l8wIMLZxWl1DfwSwbpsqKg2XSF61eFn8GcyzwAu7Vqd/kunc9
Ty44/nLrPqswILaMzoM+DcnWKNslsJ3S+WxOI4bFPArLAXBtBAIzEJk7SvswNujxqXKtvqZqv0+q
HEDmKGFsjLoct4rFyM5I4oPZDYfWVL8osza9UFMnF12K6eLO08bA7FXid5R2nU8UrXxOzbT6XFij
Ca6GJHVvM2qTbw4ayB5SYwLclJop+Ytepaimq1Zt3PbTMGeXStI321Hvq2ozT0ma+XY575umK1mU
6zNe+LZCHMixanu/uNpOz1iGngag6uk+q/NXS0lCPc80zfcqRdtnjdsXgdVoWoEZYUqempIAi9Ia
7fqymRJt9G2qWvd64aUGWn/TxN1RS2eRpreev8xqfZ/G4+1Quu2+7ipl29Chqv12UskjgDTQLa1l
eooFKpiXsFt1oxllNgbLrJk1Es9KAyKJIdl3CHtfnQQAvSNL8mmDafrpFr1z7jMQkPBe7dQ4M3dO
A4r2UEPgdhOP9YyeusodAnMul9HnuQfnySMNG8LKmHNcic5U3RlVYTi+5k1xHphal24SNW83KKka
XzTSeNdArFBIgCf4BASktMjnSEF66bfO9RYwHCgqSX1K6jcDTdqbxYvrz0TP6ybgtcCvVdl2wz0K
wQjQ4ZTaydcL0vlT3GljNLPe/VapPcEcPQCQrynR0UrZDHWk5A2bQ3OecFYZvMAm64BX0VZU95EL
wC47ZRZfjBMYMKhHq0Pe2AWqzlNFb/M8rnIA8CQzkEOUJLP9zGmqoF5s9AQ0UN0Hu7aqmwbtMsTq
gZFdtGPvl4VZPbtJQx7MdO5C6PBj3dsewAwB2GEBHwtpV7/xKtcO7DZBS5RulgRUV+OUvPX1qEyB
QyzWBBobK3SuDFrabO0ux7YCcbFrdcDqpTaAZstO75qtoZV4I3vVYnohTnDc1YV9Z2lpDU1Y4ie1
mxqQOyndDARFTEHN27ofmBPlmkncYMyXzgyLnpIDUBZQMOiBerRry+mVuB4cTtwDWZIYeg68zKK8
AxO6e7Xow/RbW49WpLSlnfpFn3xNWNJee6xNEFDGhT35I+37PlDqzg6MVml38QTcWpZVpuVbWaHh
TT9l+wWbF3h2Gld+azQgtezmqt452L7NyOx+5+BpGOpLCp3Qi2k/YrZkG88ThixcNDeCLBJEJd6c
bkF90F7kIJq6IqQaw56VyjevmYqCK5rjBKSx5kcnT7yQUOdygXI+s7anelio8BXg9K5v0EDqXQKc
wbzTKOkeS7tWn4ilDddAn2APLqhsg8FZFtA8JVpt+rNdGItvZ9gUf3YcpQnUyiYO5srmcfErI7Pq
SF9QFAyKopibsJsAsBrMiR63m5i29vNM7Cr0FgwyJQuyXhuQe9hk243VnG+s3oGZ6cTo+sAeGQMd
oD4Xu8KMPznVstyNowJCAg+jGAperTWqgWXaP+tKMgSoMJRvMVWct6nsyLQFPDgifjfTRgeZ6DpF
/0yXIUmoj3aCPI6Z97GfmvZY+6o5IAkOAvc52SqUNkvYA7Fp8NWGGPedai/Fjcps5OXAkqCOAWuZ
Xm5pHDMWLOi8pRdeMRIbcKGFTgO76JrmYtAr1YlKlTfizvCaCwIjpg9Qej0bw6x1F8U3nbTH+6Cu
bO1Sw9j8W73o9rip4xiWa2fUy3cublT8ErXV3s8dtR6iNO3YgzE5bRwsZWYWW8tWbH2T1rZSfnLM
JtZ8PRmcCjbbA0+LGOPw/5m7lt3GbSj6K0X3MiSR1GPTheTYjlPHiWc6nemGMJJWT4rUg6Kkr58j
ZwLYE2DgDFC03HghQQYpkfeecx/nNk1Y9+z1Q5be216hWWz52gyzrUIPqrDDWRVb6ZAc+mKotj5J
G/DRClTlMye16j7Z0qXJJrfEcHAUomIxT0yq9umg1YD023FUKw35+eADvviRrQj36PhnNuVSPnaO
X+IEo5bdx6wjXxLlWWbdGZMN97ny0QJBCLYZbK2PitiTA+Mc1DmikroXWwpaYhsCO7XRBLxe7stE
abaiLbUehq4QD6KxAkS2axcTGAiKT6Os6g1F51nt2sWDMK1kyzGdOIofTBq4W1Ih+NRbaU9XHvRC
s42CiVe7KjMi2UK7vFxl8GvubNHCgIkhtB9TuH4kwvQm5BpLQo+j6zj1DVed3I3w2j+jk7/Nox5J
E/dWWOk61m3BWOyD1p+ijHLn0GupcOa5ENhY66CgDwnX/rrBjKw7nuv8jkxG7fti6kzMQ2JWti+8
NOYwnmrH6rqvolH2KllDLyCZbuqGj3yp4bygXhltDW1s5yWi1zhHkPq9kbVjoPeWJXua2RMqIrtJ
39Eu9z4EbkmeEW+WJgobvyGRnHhqIodpsZOQMvfiyh/nsyWvoLpXGel+HIzdxfDneCT6jHvYi7Pu
LraJhqVJWLVtOfRJI+wr9HiCPalu9Vjq5OCwNglx5GqVgrliiYlKeDjuuskH1m9qbpNqN+B0wcnV
uo0QkVRNASXTvjfoUaLUNCE6RUUbB30gzEbbMHt/VUVmYaU5Vm5JnGxQK5/nVrFGPxkIQYq84vRQ
Ze5gliWzNdmrsWTIxg5oeRAIuulDU1QZiRIk9PFb6dkALgVsPD/qPG28Dr11nQROfl41Bd/wJiPy
Zsyapl23vSMOE518/5EO/hCgklpl7e/eaFJolrTEQYJeyh2L3CQKcYI7MnqOXumSjhViBY6wbjON
ryHuoSvx2fJl72ybmmNRUcHaIvEjNC3cPT9F7itoEDJ7kQig8X2TecEnv65luJxKKjok91uh0n/o
BLgcKEZVg7uSrMY2B1+I9zDa/ot4yrtg+C57amQr/+kuMfcldv/XwPoZrn+D1l8Ig29Y/gRUP8qf
u+kVCM+kwNsHXQf/UQMPYQEUC10QAKenneiHHz2lPIKl0M/gCCyXLSiBWH0IbP0yfv2llFXyeh3M
ALLGAeQB8F+v4x/P1untBN4yHz93z8UUniQcoplVSWA1z5kMAtLhmjX47gFna+DYC3Iac+ua88kz
snDtefje6We+/p9M/l0k0Lu/AWIvkOyJYnowhxfTdxaoz0ZB/yy3MI//3/RDpBRd9/q/W8Kz1w8W
i4FzhCuBn9O4XAYaLBhCgKjDRfnkPMCvX/sVXLFPvrGJT+Xfx+a3rwAAAP//</cx:binary>
              </cx:geoCache>
            </cx:geography>
          </cx:layoutPr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2.svg"/><Relationship Id="rId7" Type="http://schemas.openxmlformats.org/officeDocument/2006/relationships/image" Target="../media/image6.svg"/><Relationship Id="rId12" Type="http://schemas.microsoft.com/office/2014/relationships/chartEx" Target="../charts/chartEx1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chart" Target="../charts/chart5.xml"/><Relationship Id="rId5" Type="http://schemas.openxmlformats.org/officeDocument/2006/relationships/image" Target="../media/image4.svg"/><Relationship Id="rId10" Type="http://schemas.openxmlformats.org/officeDocument/2006/relationships/chart" Target="../charts/chart4.xml"/><Relationship Id="rId4" Type="http://schemas.openxmlformats.org/officeDocument/2006/relationships/image" Target="../media/image3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287540</xdr:colOff>
      <xdr:row>16</xdr:row>
      <xdr:rowOff>27992</xdr:rowOff>
    </xdr:from>
    <xdr:to>
      <xdr:col>19</xdr:col>
      <xdr:colOff>23327</xdr:colOff>
      <xdr:row>35</xdr:row>
      <xdr:rowOff>171061</xdr:rowOff>
    </xdr:to>
    <xdr:sp macro="" textlink="">
      <xdr:nvSpPr>
        <xdr:cNvPr id="51" name="Retângulo: Cantos Arredondados 50">
          <a:extLst>
            <a:ext uri="{FF2B5EF4-FFF2-40B4-BE49-F238E27FC236}">
              <a16:creationId xmlns:a16="http://schemas.microsoft.com/office/drawing/2014/main" id="{829B99A1-1F9C-4C5D-970E-D71309F2C7C5}"/>
            </a:ext>
          </a:extLst>
        </xdr:cNvPr>
        <xdr:cNvSpPr/>
      </xdr:nvSpPr>
      <xdr:spPr>
        <a:xfrm>
          <a:off x="8821940" y="2896698"/>
          <a:ext cx="2783787" cy="3549657"/>
        </a:xfrm>
        <a:prstGeom prst="roundRect">
          <a:avLst>
            <a:gd name="adj" fmla="val 7778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endParaRPr lang="en-US" sz="1100"/>
        </a:p>
      </xdr:txBody>
    </xdr:sp>
    <xdr:clientData/>
  </xdr:twoCellAnchor>
  <xdr:twoCellAnchor>
    <xdr:from>
      <xdr:col>4</xdr:col>
      <xdr:colOff>141725</xdr:colOff>
      <xdr:row>16</xdr:row>
      <xdr:rowOff>65765</xdr:rowOff>
    </xdr:from>
    <xdr:to>
      <xdr:col>14</xdr:col>
      <xdr:colOff>138770</xdr:colOff>
      <xdr:row>36</xdr:row>
      <xdr:rowOff>34211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D1814537-FB0D-3DFD-C451-AE8D093CCCF0}"/>
            </a:ext>
          </a:extLst>
        </xdr:cNvPr>
        <xdr:cNvSpPr/>
      </xdr:nvSpPr>
      <xdr:spPr>
        <a:xfrm>
          <a:off x="2580125" y="2934471"/>
          <a:ext cx="6093045" cy="3554328"/>
        </a:xfrm>
        <a:prstGeom prst="roundRect">
          <a:avLst>
            <a:gd name="adj" fmla="val 7778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422834</xdr:colOff>
      <xdr:row>4</xdr:row>
      <xdr:rowOff>46654</xdr:rowOff>
    </xdr:from>
    <xdr:to>
      <xdr:col>14</xdr:col>
      <xdr:colOff>171062</xdr:colOff>
      <xdr:row>15</xdr:row>
      <xdr:rowOff>46653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086901CA-F13E-40F8-92B5-CFE1FE878A24}"/>
            </a:ext>
          </a:extLst>
        </xdr:cNvPr>
        <xdr:cNvSpPr/>
      </xdr:nvSpPr>
      <xdr:spPr>
        <a:xfrm>
          <a:off x="2242303" y="793103"/>
          <a:ext cx="6419616" cy="2052734"/>
        </a:xfrm>
        <a:prstGeom prst="roundRect">
          <a:avLst>
            <a:gd name="adj" fmla="val 7778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98182</xdr:colOff>
      <xdr:row>0</xdr:row>
      <xdr:rowOff>49462</xdr:rowOff>
    </xdr:from>
    <xdr:to>
      <xdr:col>4</xdr:col>
      <xdr:colOff>60082</xdr:colOff>
      <xdr:row>35</xdr:row>
      <xdr:rowOff>167796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1F6D734C-0741-D4B8-62F5-CABC4950528A}"/>
            </a:ext>
          </a:extLst>
        </xdr:cNvPr>
        <xdr:cNvSpPr/>
      </xdr:nvSpPr>
      <xdr:spPr>
        <a:xfrm>
          <a:off x="98182" y="49462"/>
          <a:ext cx="2400300" cy="6393628"/>
        </a:xfrm>
        <a:prstGeom prst="roundRect">
          <a:avLst>
            <a:gd name="adj" fmla="val 7778"/>
          </a:avLst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513198</xdr:colOff>
      <xdr:row>17</xdr:row>
      <xdr:rowOff>108867</xdr:rowOff>
    </xdr:from>
    <xdr:to>
      <xdr:col>13</xdr:col>
      <xdr:colOff>326575</xdr:colOff>
      <xdr:row>20</xdr:row>
      <xdr:rowOff>87393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B91B573-8EF6-4B46-8154-62C1BDA1F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15551</xdr:colOff>
      <xdr:row>6</xdr:row>
      <xdr:rowOff>44944</xdr:rowOff>
    </xdr:from>
    <xdr:to>
      <xdr:col>7</xdr:col>
      <xdr:colOff>256298</xdr:colOff>
      <xdr:row>13</xdr:row>
      <xdr:rowOff>37324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FFE8708C-42EC-45F7-223E-37BFC0CFE7DE}"/>
            </a:ext>
          </a:extLst>
        </xdr:cNvPr>
        <xdr:cNvSpPr/>
      </xdr:nvSpPr>
      <xdr:spPr>
        <a:xfrm>
          <a:off x="2441510" y="1164617"/>
          <a:ext cx="2060217" cy="1298666"/>
        </a:xfrm>
        <a:prstGeom prst="roundRect">
          <a:avLst>
            <a:gd name="adj" fmla="val 13673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279919</xdr:colOff>
      <xdr:row>0</xdr:row>
      <xdr:rowOff>155508</xdr:rowOff>
    </xdr:from>
    <xdr:to>
      <xdr:col>23</xdr:col>
      <xdr:colOff>108858</xdr:colOff>
      <xdr:row>4</xdr:row>
      <xdr:rowOff>31099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AD275048-CC49-4F42-7D98-6A7BC7B7A39A}"/>
            </a:ext>
          </a:extLst>
        </xdr:cNvPr>
        <xdr:cNvSpPr txBox="1"/>
      </xdr:nvSpPr>
      <xdr:spPr>
        <a:xfrm>
          <a:off x="2705878" y="155508"/>
          <a:ext cx="11352245" cy="622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>
              <a:solidFill>
                <a:schemeClr val="bg1"/>
              </a:solidFill>
              <a:latin typeface="+mn-lt"/>
            </a:rPr>
            <a:t>Análise Quantitativa de </a:t>
          </a:r>
          <a:r>
            <a:rPr lang="en-US" sz="3200" b="1" baseline="0">
              <a:solidFill>
                <a:schemeClr val="bg1"/>
              </a:solidFill>
              <a:latin typeface="+mn-lt"/>
            </a:rPr>
            <a:t>Produtos por Assinatura Região Sul - </a:t>
          </a:r>
          <a:r>
            <a:rPr lang="en-US" sz="3200" b="1" baseline="0">
              <a:solidFill>
                <a:schemeClr val="accent1"/>
              </a:solidFill>
              <a:latin typeface="+mn-lt"/>
            </a:rPr>
            <a:t>2024</a:t>
          </a:r>
          <a:endParaRPr lang="en-US" sz="3200" b="1">
            <a:solidFill>
              <a:schemeClr val="accent1"/>
            </a:solidFill>
            <a:latin typeface="+mn-lt"/>
          </a:endParaRPr>
        </a:p>
      </xdr:txBody>
    </xdr:sp>
    <xdr:clientData/>
  </xdr:twoCellAnchor>
  <xdr:twoCellAnchor>
    <xdr:from>
      <xdr:col>4</xdr:col>
      <xdr:colOff>51338</xdr:colOff>
      <xdr:row>6</xdr:row>
      <xdr:rowOff>77754</xdr:rowOff>
    </xdr:from>
    <xdr:to>
      <xdr:col>7</xdr:col>
      <xdr:colOff>575407</xdr:colOff>
      <xdr:row>8</xdr:row>
      <xdr:rowOff>155510</xdr:rowOff>
    </xdr:to>
    <xdr:sp macro="" textlink="#REF!">
      <xdr:nvSpPr>
        <xdr:cNvPr id="14" name="CaixaDeTexto 13">
          <a:extLst>
            <a:ext uri="{FF2B5EF4-FFF2-40B4-BE49-F238E27FC236}">
              <a16:creationId xmlns:a16="http://schemas.microsoft.com/office/drawing/2014/main" id="{90D0DB93-17CD-45AA-8B2F-7BCB50A562BF}"/>
            </a:ext>
          </a:extLst>
        </xdr:cNvPr>
        <xdr:cNvSpPr txBox="1"/>
      </xdr:nvSpPr>
      <xdr:spPr>
        <a:xfrm>
          <a:off x="2477297" y="1197427"/>
          <a:ext cx="2343539" cy="450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600" b="1" baseline="0">
              <a:solidFill>
                <a:schemeClr val="bg1"/>
              </a:solidFill>
              <a:latin typeface="+mn-lt"/>
            </a:rPr>
            <a:t>Base Assinantes</a:t>
          </a:r>
          <a:endParaRPr lang="en-US" sz="1600" b="1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4</xdr:col>
      <xdr:colOff>93324</xdr:colOff>
      <xdr:row>6</xdr:row>
      <xdr:rowOff>186612</xdr:rowOff>
    </xdr:from>
    <xdr:to>
      <xdr:col>4</xdr:col>
      <xdr:colOff>93324</xdr:colOff>
      <xdr:row>8</xdr:row>
      <xdr:rowOff>29387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6FA36D93-3843-46AA-7B54-C7AF272D6007}"/>
            </a:ext>
          </a:extLst>
        </xdr:cNvPr>
        <xdr:cNvCxnSpPr/>
      </xdr:nvCxnSpPr>
      <xdr:spPr>
        <a:xfrm>
          <a:off x="2519283" y="1306285"/>
          <a:ext cx="0" cy="216000"/>
        </a:xfrm>
        <a:prstGeom prst="line">
          <a:avLst/>
        </a:prstGeom>
        <a:ln w="57150" cap="rnd">
          <a:solidFill>
            <a:schemeClr val="bg2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351465</xdr:colOff>
      <xdr:row>16</xdr:row>
      <xdr:rowOff>69985</xdr:rowOff>
    </xdr:from>
    <xdr:to>
      <xdr:col>9</xdr:col>
      <xdr:colOff>147731</xdr:colOff>
      <xdr:row>18</xdr:row>
      <xdr:rowOff>90202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82CFA683-5084-4489-B17D-6194E45FE2D6}"/>
            </a:ext>
          </a:extLst>
        </xdr:cNvPr>
        <xdr:cNvSpPr txBox="1"/>
      </xdr:nvSpPr>
      <xdr:spPr>
        <a:xfrm>
          <a:off x="2777424" y="3055781"/>
          <a:ext cx="2828715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600" b="1" i="0" u="none" strike="noStrike">
              <a:solidFill>
                <a:schemeClr val="bg1"/>
              </a:solidFill>
              <a:latin typeface="+mn-lt"/>
            </a:rPr>
            <a:t>Análise</a:t>
          </a:r>
          <a:r>
            <a:rPr lang="en-US" sz="1600" b="1" i="0" u="none" strike="noStrike" baseline="0">
              <a:solidFill>
                <a:schemeClr val="bg1"/>
              </a:solidFill>
              <a:latin typeface="+mn-lt"/>
            </a:rPr>
            <a:t> da Base de Assinantes </a:t>
          </a:r>
          <a:endParaRPr lang="en-US" sz="1600" b="1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4</xdr:col>
      <xdr:colOff>315696</xdr:colOff>
      <xdr:row>17</xdr:row>
      <xdr:rowOff>35773</xdr:rowOff>
    </xdr:from>
    <xdr:to>
      <xdr:col>4</xdr:col>
      <xdr:colOff>318794</xdr:colOff>
      <xdr:row>19</xdr:row>
      <xdr:rowOff>77761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4FC5F7B2-9665-44AB-BA85-89D84EC331BB}"/>
            </a:ext>
          </a:extLst>
        </xdr:cNvPr>
        <xdr:cNvCxnSpPr/>
      </xdr:nvCxnSpPr>
      <xdr:spPr>
        <a:xfrm>
          <a:off x="2741655" y="3208181"/>
          <a:ext cx="3098" cy="415213"/>
        </a:xfrm>
        <a:prstGeom prst="line">
          <a:avLst/>
        </a:prstGeom>
        <a:ln w="57150" cap="rnd"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348356</xdr:colOff>
      <xdr:row>17</xdr:row>
      <xdr:rowOff>113528</xdr:rowOff>
    </xdr:from>
    <xdr:to>
      <xdr:col>7</xdr:col>
      <xdr:colOff>505406</xdr:colOff>
      <xdr:row>19</xdr:row>
      <xdr:rowOff>133744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D5A49CF1-C81D-4D13-8B71-A401ED822089}"/>
            </a:ext>
          </a:extLst>
        </xdr:cNvPr>
        <xdr:cNvSpPr txBox="1"/>
      </xdr:nvSpPr>
      <xdr:spPr>
        <a:xfrm>
          <a:off x="2774315" y="3285936"/>
          <a:ext cx="1976520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0" i="0" u="none" strike="noStrike" baseline="0">
              <a:solidFill>
                <a:schemeClr val="bg1"/>
              </a:solidFill>
              <a:latin typeface="+mn-lt"/>
            </a:rPr>
            <a:t>por</a:t>
          </a:r>
          <a:r>
            <a:rPr lang="en-US" sz="1400" b="1" i="0" u="none" strike="noStrike" baseline="0">
              <a:solidFill>
                <a:schemeClr val="bg1"/>
              </a:solidFill>
              <a:latin typeface="+mn-lt"/>
            </a:rPr>
            <a:t> </a:t>
          </a:r>
          <a:r>
            <a:rPr lang="en-US" sz="1400" b="1" i="0" u="none" strike="noStrike" baseline="0">
              <a:solidFill>
                <a:schemeClr val="accent2"/>
              </a:solidFill>
              <a:latin typeface="+mn-lt"/>
            </a:rPr>
            <a:t>gênero</a:t>
          </a:r>
          <a:r>
            <a:rPr lang="en-US" sz="1400" b="1" i="0" u="none" strike="noStrike" baseline="0">
              <a:solidFill>
                <a:schemeClr val="bg1"/>
              </a:solidFill>
              <a:latin typeface="+mn-lt"/>
            </a:rPr>
            <a:t> </a:t>
          </a:r>
          <a:r>
            <a:rPr lang="en-US" sz="1400" b="0" i="0" u="none" strike="noStrike" baseline="0">
              <a:solidFill>
                <a:schemeClr val="bg1"/>
              </a:solidFill>
              <a:latin typeface="+mn-lt"/>
            </a:rPr>
            <a:t>e</a:t>
          </a:r>
          <a:r>
            <a:rPr lang="en-US" sz="1400" b="1" i="0" u="none" strike="noStrike" baseline="0">
              <a:solidFill>
                <a:schemeClr val="bg1"/>
              </a:solidFill>
              <a:latin typeface="+mn-lt"/>
            </a:rPr>
            <a:t> </a:t>
          </a:r>
          <a:r>
            <a:rPr lang="en-US" sz="1400" b="1" i="0" u="none" strike="noStrike" baseline="0">
              <a:solidFill>
                <a:schemeClr val="accent2"/>
              </a:solidFill>
              <a:latin typeface="+mn-lt"/>
            </a:rPr>
            <a:t>faixa etária </a:t>
          </a:r>
          <a:endParaRPr lang="en-US" sz="1400" b="1" i="0" u="none" strike="noStrike">
            <a:solidFill>
              <a:schemeClr val="accent2"/>
            </a:solidFill>
            <a:latin typeface="+mn-lt"/>
          </a:endParaRPr>
        </a:p>
      </xdr:txBody>
    </xdr:sp>
    <xdr:clientData/>
  </xdr:twoCellAnchor>
  <xdr:twoCellAnchor>
    <xdr:from>
      <xdr:col>19</xdr:col>
      <xdr:colOff>231724</xdr:colOff>
      <xdr:row>16</xdr:row>
      <xdr:rowOff>66883</xdr:rowOff>
    </xdr:from>
    <xdr:to>
      <xdr:col>23</xdr:col>
      <xdr:colOff>559836</xdr:colOff>
      <xdr:row>18</xdr:row>
      <xdr:rowOff>87100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9D940992-3116-4700-B511-62960D4CE6F4}"/>
            </a:ext>
          </a:extLst>
        </xdr:cNvPr>
        <xdr:cNvSpPr txBox="1"/>
      </xdr:nvSpPr>
      <xdr:spPr>
        <a:xfrm>
          <a:off x="11755030" y="3052679"/>
          <a:ext cx="2754071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600" b="1" i="0" u="none" strike="noStrike">
              <a:solidFill>
                <a:schemeClr val="bg1"/>
              </a:solidFill>
              <a:latin typeface="+mn-lt"/>
            </a:rPr>
            <a:t>Análise</a:t>
          </a:r>
          <a:r>
            <a:rPr lang="en-US" sz="1600" b="1" i="0" u="none" strike="noStrike" baseline="0">
              <a:solidFill>
                <a:schemeClr val="bg1"/>
              </a:solidFill>
              <a:latin typeface="+mn-lt"/>
            </a:rPr>
            <a:t> da Base de Assinantes </a:t>
          </a:r>
          <a:endParaRPr lang="en-US" sz="1600" b="1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19</xdr:col>
      <xdr:colOff>195955</xdr:colOff>
      <xdr:row>16</xdr:row>
      <xdr:rowOff>164851</xdr:rowOff>
    </xdr:from>
    <xdr:to>
      <xdr:col>19</xdr:col>
      <xdr:colOff>199053</xdr:colOff>
      <xdr:row>19</xdr:row>
      <xdr:rowOff>20227</xdr:rowOff>
    </xdr:to>
    <xdr:cxnSp macro="">
      <xdr:nvCxnSpPr>
        <xdr:cNvPr id="35" name="Conector reto 34">
          <a:extLst>
            <a:ext uri="{FF2B5EF4-FFF2-40B4-BE49-F238E27FC236}">
              <a16:creationId xmlns:a16="http://schemas.microsoft.com/office/drawing/2014/main" id="{9EB3452C-5B5B-4631-BB58-91B684880E7C}"/>
            </a:ext>
          </a:extLst>
        </xdr:cNvPr>
        <xdr:cNvCxnSpPr/>
      </xdr:nvCxnSpPr>
      <xdr:spPr>
        <a:xfrm>
          <a:off x="11719261" y="3150647"/>
          <a:ext cx="3098" cy="415213"/>
        </a:xfrm>
        <a:prstGeom prst="line">
          <a:avLst/>
        </a:prstGeom>
        <a:ln w="57150" cap="rnd"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251942</xdr:colOff>
      <xdr:row>17</xdr:row>
      <xdr:rowOff>102651</xdr:rowOff>
    </xdr:from>
    <xdr:to>
      <xdr:col>22</xdr:col>
      <xdr:colOff>408992</xdr:colOff>
      <xdr:row>19</xdr:row>
      <xdr:rowOff>122867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6D05C3AF-4FC5-43EC-8044-C356DB8B9ABA}"/>
            </a:ext>
          </a:extLst>
        </xdr:cNvPr>
        <xdr:cNvSpPr txBox="1"/>
      </xdr:nvSpPr>
      <xdr:spPr>
        <a:xfrm>
          <a:off x="11775248" y="3275059"/>
          <a:ext cx="1976520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0" i="0" u="none" strike="noStrike" baseline="0">
              <a:solidFill>
                <a:schemeClr val="bg1"/>
              </a:solidFill>
              <a:latin typeface="+mn-lt"/>
            </a:rPr>
            <a:t>por</a:t>
          </a:r>
          <a:r>
            <a:rPr lang="en-US" sz="1400" b="1" i="0" u="none" strike="noStrike" baseline="0">
              <a:solidFill>
                <a:schemeClr val="bg1"/>
              </a:solidFill>
              <a:latin typeface="+mn-lt"/>
            </a:rPr>
            <a:t> </a:t>
          </a:r>
          <a:r>
            <a:rPr lang="en-US" sz="1400" b="1" i="0" u="none" strike="noStrike" baseline="0">
              <a:solidFill>
                <a:schemeClr val="accent2"/>
              </a:solidFill>
              <a:latin typeface="+mn-lt"/>
            </a:rPr>
            <a:t>estado</a:t>
          </a:r>
          <a:endParaRPr lang="en-US" sz="1400" b="1" i="0" u="none" strike="noStrike">
            <a:solidFill>
              <a:schemeClr val="accent2"/>
            </a:solidFill>
            <a:latin typeface="+mn-lt"/>
          </a:endParaRPr>
        </a:p>
      </xdr:txBody>
    </xdr:sp>
    <xdr:clientData/>
  </xdr:twoCellAnchor>
  <xdr:twoCellAnchor>
    <xdr:from>
      <xdr:col>14</xdr:col>
      <xdr:colOff>492972</xdr:colOff>
      <xdr:row>4</xdr:row>
      <xdr:rowOff>102639</xdr:rowOff>
    </xdr:from>
    <xdr:to>
      <xdr:col>22</xdr:col>
      <xdr:colOff>311020</xdr:colOff>
      <xdr:row>6</xdr:row>
      <xdr:rowOff>122856</xdr:rowOff>
    </xdr:to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CCF85253-1199-4F3A-895B-19BF24F2CF3E}"/>
            </a:ext>
          </a:extLst>
        </xdr:cNvPr>
        <xdr:cNvSpPr txBox="1"/>
      </xdr:nvSpPr>
      <xdr:spPr>
        <a:xfrm>
          <a:off x="8983829" y="849088"/>
          <a:ext cx="4669967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0" u="none" strike="noStrike">
              <a:solidFill>
                <a:schemeClr val="bg1"/>
              </a:solidFill>
              <a:latin typeface="+mn-lt"/>
            </a:rPr>
            <a:t>Análise</a:t>
          </a:r>
          <a:r>
            <a:rPr lang="en-US" sz="1600" b="1" i="0" u="none" strike="noStrike" baseline="0">
              <a:solidFill>
                <a:schemeClr val="bg1"/>
              </a:solidFill>
              <a:latin typeface="+mn-lt"/>
            </a:rPr>
            <a:t> de Assinantes </a:t>
          </a:r>
          <a:r>
            <a:rPr lang="en-US" sz="16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por</a:t>
          </a:r>
          <a:r>
            <a:rPr lang="en-US" sz="1600" b="1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600" b="1" i="0" baseline="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produto vendido</a:t>
          </a:r>
          <a:endParaRPr lang="en-US" sz="1600">
            <a:solidFill>
              <a:schemeClr val="accent2"/>
            </a:solidFill>
            <a:effectLst/>
          </a:endParaRPr>
        </a:p>
        <a:p>
          <a:pPr algn="l"/>
          <a:endParaRPr lang="en-US" sz="1600" b="1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14</xdr:col>
      <xdr:colOff>503857</xdr:colOff>
      <xdr:row>4</xdr:row>
      <xdr:rowOff>130631</xdr:rowOff>
    </xdr:from>
    <xdr:to>
      <xdr:col>14</xdr:col>
      <xdr:colOff>506955</xdr:colOff>
      <xdr:row>6</xdr:row>
      <xdr:rowOff>172620</xdr:rowOff>
    </xdr:to>
    <xdr:cxnSp macro="">
      <xdr:nvCxnSpPr>
        <xdr:cNvPr id="39" name="Conector reto 38">
          <a:extLst>
            <a:ext uri="{FF2B5EF4-FFF2-40B4-BE49-F238E27FC236}">
              <a16:creationId xmlns:a16="http://schemas.microsoft.com/office/drawing/2014/main" id="{6FABDB41-8A34-4208-8ED0-EDBC97906459}"/>
            </a:ext>
          </a:extLst>
        </xdr:cNvPr>
        <xdr:cNvCxnSpPr/>
      </xdr:nvCxnSpPr>
      <xdr:spPr>
        <a:xfrm>
          <a:off x="8994714" y="877080"/>
          <a:ext cx="3098" cy="415213"/>
        </a:xfrm>
        <a:prstGeom prst="line">
          <a:avLst/>
        </a:prstGeom>
        <a:ln w="57150" cap="rnd"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374791</xdr:colOff>
      <xdr:row>5</xdr:row>
      <xdr:rowOff>183493</xdr:rowOff>
    </xdr:from>
    <xdr:to>
      <xdr:col>12</xdr:col>
      <xdr:colOff>536510</xdr:colOff>
      <xdr:row>8</xdr:row>
      <xdr:rowOff>74637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BEBB8496-A147-477B-BD17-3E74D51F635F}"/>
            </a:ext>
          </a:extLst>
        </xdr:cNvPr>
        <xdr:cNvSpPr txBox="1"/>
      </xdr:nvSpPr>
      <xdr:spPr>
        <a:xfrm>
          <a:off x="4620220" y="1116554"/>
          <a:ext cx="3194168" cy="450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600" b="1" i="0" u="none" strike="noStrike">
              <a:solidFill>
                <a:schemeClr val="bg1"/>
              </a:solidFill>
              <a:latin typeface="+mn-lt"/>
            </a:rPr>
            <a:t>Receita</a:t>
          </a:r>
          <a:r>
            <a:rPr lang="en-US" sz="1600" b="1" i="0" u="none" strike="noStrike" baseline="0">
              <a:solidFill>
                <a:schemeClr val="bg1"/>
              </a:solidFill>
              <a:latin typeface="+mn-lt"/>
            </a:rPr>
            <a:t> de produtos por assinatura</a:t>
          </a:r>
          <a:endParaRPr lang="en-US" sz="1600" b="1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8</xdr:col>
      <xdr:colOff>517073</xdr:colOff>
      <xdr:row>9</xdr:row>
      <xdr:rowOff>62196</xdr:rowOff>
    </xdr:from>
    <xdr:to>
      <xdr:col>12</xdr:col>
      <xdr:colOff>165349</xdr:colOff>
      <xdr:row>9</xdr:row>
      <xdr:rowOff>85523</xdr:rowOff>
    </xdr:to>
    <xdr:cxnSp macro="">
      <xdr:nvCxnSpPr>
        <xdr:cNvPr id="45" name="Conector: Angulado 44">
          <a:extLst>
            <a:ext uri="{FF2B5EF4-FFF2-40B4-BE49-F238E27FC236}">
              <a16:creationId xmlns:a16="http://schemas.microsoft.com/office/drawing/2014/main" id="{36632698-F4C6-46DB-0629-49AB5CA9B6B1}"/>
            </a:ext>
          </a:extLst>
        </xdr:cNvPr>
        <xdr:cNvCxnSpPr>
          <a:cxnSpLocks/>
        </xdr:cNvCxnSpPr>
      </xdr:nvCxnSpPr>
      <xdr:spPr>
        <a:xfrm rot="16200000" flipH="1">
          <a:off x="6425547" y="644169"/>
          <a:ext cx="23327" cy="2086676"/>
        </a:xfrm>
        <a:prstGeom prst="bentConnector3">
          <a:avLst>
            <a:gd name="adj1" fmla="val -579989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317253</xdr:colOff>
      <xdr:row>11</xdr:row>
      <xdr:rowOff>48199</xdr:rowOff>
    </xdr:from>
    <xdr:to>
      <xdr:col>10</xdr:col>
      <xdr:colOff>46653</xdr:colOff>
      <xdr:row>13</xdr:row>
      <xdr:rowOff>125956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EDD47780-C23B-4B79-B3F0-84697B7A8B13}"/>
            </a:ext>
          </a:extLst>
        </xdr:cNvPr>
        <xdr:cNvSpPr txBox="1"/>
      </xdr:nvSpPr>
      <xdr:spPr>
        <a:xfrm>
          <a:off x="4562682" y="2100934"/>
          <a:ext cx="1548869" cy="450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chemeClr val="accent1"/>
              </a:solidFill>
              <a:latin typeface="+mn-lt"/>
            </a:rPr>
            <a:t>(MENSALIDADE)</a:t>
          </a:r>
        </a:p>
      </xdr:txBody>
    </xdr:sp>
    <xdr:clientData/>
  </xdr:twoCellAnchor>
  <xdr:twoCellAnchor>
    <xdr:from>
      <xdr:col>11</xdr:col>
      <xdr:colOff>49775</xdr:colOff>
      <xdr:row>11</xdr:row>
      <xdr:rowOff>76191</xdr:rowOff>
    </xdr:from>
    <xdr:to>
      <xdr:col>13</xdr:col>
      <xdr:colOff>385665</xdr:colOff>
      <xdr:row>13</xdr:row>
      <xdr:rowOff>153948</xdr:rowOff>
    </xdr:to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1317D8D1-904E-498B-87D8-4C9D8D82629B}"/>
            </a:ext>
          </a:extLst>
        </xdr:cNvPr>
        <xdr:cNvSpPr txBox="1"/>
      </xdr:nvSpPr>
      <xdr:spPr>
        <a:xfrm>
          <a:off x="6721163" y="2128926"/>
          <a:ext cx="1548869" cy="4509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chemeClr val="accent1"/>
              </a:solidFill>
              <a:latin typeface="+mn-lt"/>
            </a:rPr>
            <a:t>(PREVISÃO</a:t>
          </a:r>
          <a:r>
            <a:rPr lang="en-US" sz="1200" b="1" i="0" u="none" strike="noStrike" baseline="0">
              <a:solidFill>
                <a:schemeClr val="accent1"/>
              </a:solidFill>
              <a:latin typeface="+mn-lt"/>
            </a:rPr>
            <a:t> </a:t>
          </a:r>
          <a:r>
            <a:rPr lang="en-US" sz="1200" b="1" i="0" u="none" strike="noStrike">
              <a:solidFill>
                <a:schemeClr val="accent1"/>
              </a:solidFill>
              <a:latin typeface="+mn-lt"/>
            </a:rPr>
            <a:t>ANUAL )</a:t>
          </a:r>
        </a:p>
      </xdr:txBody>
    </xdr:sp>
    <xdr:clientData/>
  </xdr:twoCellAnchor>
  <xdr:twoCellAnchor>
    <xdr:from>
      <xdr:col>9</xdr:col>
      <xdr:colOff>513184</xdr:colOff>
      <xdr:row>7</xdr:row>
      <xdr:rowOff>163278</xdr:rowOff>
    </xdr:from>
    <xdr:to>
      <xdr:col>11</xdr:col>
      <xdr:colOff>186611</xdr:colOff>
      <xdr:row>9</xdr:row>
      <xdr:rowOff>38871</xdr:rowOff>
    </xdr:to>
    <xdr:sp macro="" textlink="">
      <xdr:nvSpPr>
        <xdr:cNvPr id="50" name="Elipse 49">
          <a:extLst>
            <a:ext uri="{FF2B5EF4-FFF2-40B4-BE49-F238E27FC236}">
              <a16:creationId xmlns:a16="http://schemas.microsoft.com/office/drawing/2014/main" id="{2F8AC325-86CE-EDF3-11E7-F7C1F0DEB7D1}"/>
            </a:ext>
          </a:extLst>
        </xdr:cNvPr>
        <xdr:cNvSpPr/>
      </xdr:nvSpPr>
      <xdr:spPr>
        <a:xfrm>
          <a:off x="5971592" y="1469564"/>
          <a:ext cx="886407" cy="248817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/>
            <a:t>x12</a:t>
          </a:r>
        </a:p>
      </xdr:txBody>
    </xdr:sp>
    <xdr:clientData/>
  </xdr:twoCellAnchor>
  <xdr:twoCellAnchor>
    <xdr:from>
      <xdr:col>14</xdr:col>
      <xdr:colOff>470843</xdr:colOff>
      <xdr:row>16</xdr:row>
      <xdr:rowOff>17760</xdr:rowOff>
    </xdr:from>
    <xdr:to>
      <xdr:col>19</xdr:col>
      <xdr:colOff>24515</xdr:colOff>
      <xdr:row>18</xdr:row>
      <xdr:rowOff>37977</xdr:rowOff>
    </xdr:to>
    <xdr:sp macro="" textlink="">
      <xdr:nvSpPr>
        <xdr:cNvPr id="70" name="CaixaDeTexto 69">
          <a:extLst>
            <a:ext uri="{FF2B5EF4-FFF2-40B4-BE49-F238E27FC236}">
              <a16:creationId xmlns:a16="http://schemas.microsoft.com/office/drawing/2014/main" id="{C41738B1-694A-417E-829B-B24776F9A011}"/>
            </a:ext>
          </a:extLst>
        </xdr:cNvPr>
        <xdr:cNvSpPr txBox="1"/>
      </xdr:nvSpPr>
      <xdr:spPr>
        <a:xfrm>
          <a:off x="9005243" y="2886466"/>
          <a:ext cx="2601672" cy="378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600" b="1" i="0" u="none" strike="noStrike">
              <a:solidFill>
                <a:schemeClr val="bg1"/>
              </a:solidFill>
              <a:latin typeface="+mn-lt"/>
            </a:rPr>
            <a:t>Avaliação</a:t>
          </a:r>
          <a:r>
            <a:rPr lang="en-US" sz="1600" b="1" i="0" u="none" strike="noStrike" baseline="0">
              <a:solidFill>
                <a:schemeClr val="bg1"/>
              </a:solidFill>
              <a:latin typeface="+mn-lt"/>
            </a:rPr>
            <a:t> dos Clientes</a:t>
          </a:r>
          <a:endParaRPr lang="en-US" sz="1600" b="1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14</xdr:col>
      <xdr:colOff>426110</xdr:colOff>
      <xdr:row>16</xdr:row>
      <xdr:rowOff>177292</xdr:rowOff>
    </xdr:from>
    <xdr:to>
      <xdr:col>14</xdr:col>
      <xdr:colOff>429208</xdr:colOff>
      <xdr:row>19</xdr:row>
      <xdr:rowOff>32668</xdr:rowOff>
    </xdr:to>
    <xdr:cxnSp macro="">
      <xdr:nvCxnSpPr>
        <xdr:cNvPr id="71" name="Conector reto 70">
          <a:extLst>
            <a:ext uri="{FF2B5EF4-FFF2-40B4-BE49-F238E27FC236}">
              <a16:creationId xmlns:a16="http://schemas.microsoft.com/office/drawing/2014/main" id="{CE3926E9-404C-474C-B799-99B05705D549}"/>
            </a:ext>
          </a:extLst>
        </xdr:cNvPr>
        <xdr:cNvCxnSpPr/>
      </xdr:nvCxnSpPr>
      <xdr:spPr>
        <a:xfrm>
          <a:off x="8916967" y="3163088"/>
          <a:ext cx="3098" cy="415213"/>
        </a:xfrm>
        <a:prstGeom prst="line">
          <a:avLst/>
        </a:prstGeom>
        <a:ln w="57150" cap="rnd">
          <a:solidFill>
            <a:schemeClr val="bg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482097</xdr:colOff>
      <xdr:row>17</xdr:row>
      <xdr:rowOff>35598</xdr:rowOff>
    </xdr:from>
    <xdr:to>
      <xdr:col>18</xdr:col>
      <xdr:colOff>32658</xdr:colOff>
      <xdr:row>19</xdr:row>
      <xdr:rowOff>55814</xdr:rowOff>
    </xdr:to>
    <xdr:sp macro="" textlink="">
      <xdr:nvSpPr>
        <xdr:cNvPr id="72" name="CaixaDeTexto 71">
          <a:extLst>
            <a:ext uri="{FF2B5EF4-FFF2-40B4-BE49-F238E27FC236}">
              <a16:creationId xmlns:a16="http://schemas.microsoft.com/office/drawing/2014/main" id="{A5E47039-8A40-4DDD-AF1B-F271D754D760}"/>
            </a:ext>
          </a:extLst>
        </xdr:cNvPr>
        <xdr:cNvSpPr txBox="1"/>
      </xdr:nvSpPr>
      <xdr:spPr>
        <a:xfrm>
          <a:off x="9016497" y="3083598"/>
          <a:ext cx="1988961" cy="3788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1" i="0" u="none" strike="noStrike">
              <a:solidFill>
                <a:schemeClr val="accent2"/>
              </a:solidFill>
              <a:latin typeface="+mn-lt"/>
            </a:rPr>
            <a:t>pergunta do site</a:t>
          </a:r>
        </a:p>
      </xdr:txBody>
    </xdr:sp>
    <xdr:clientData/>
  </xdr:twoCellAnchor>
  <xdr:twoCellAnchor>
    <xdr:from>
      <xdr:col>0</xdr:col>
      <xdr:colOff>550518</xdr:colOff>
      <xdr:row>1</xdr:row>
      <xdr:rowOff>59099</xdr:rowOff>
    </xdr:from>
    <xdr:to>
      <xdr:col>2</xdr:col>
      <xdr:colOff>217714</xdr:colOff>
      <xdr:row>3</xdr:row>
      <xdr:rowOff>79315</xdr:rowOff>
    </xdr:to>
    <xdr:sp macro="" textlink="">
      <xdr:nvSpPr>
        <xdr:cNvPr id="78" name="CaixaDeTexto 77">
          <a:extLst>
            <a:ext uri="{FF2B5EF4-FFF2-40B4-BE49-F238E27FC236}">
              <a16:creationId xmlns:a16="http://schemas.microsoft.com/office/drawing/2014/main" id="{98ABA3FA-B758-443B-984A-DED581905821}"/>
            </a:ext>
          </a:extLst>
        </xdr:cNvPr>
        <xdr:cNvSpPr txBox="1"/>
      </xdr:nvSpPr>
      <xdr:spPr>
        <a:xfrm>
          <a:off x="550518" y="245711"/>
          <a:ext cx="880176" cy="393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000" b="1" i="0" u="none" strike="noStrike">
              <a:solidFill>
                <a:schemeClr val="bg1"/>
              </a:solidFill>
              <a:latin typeface="+mn-lt"/>
            </a:rPr>
            <a:t>Filtros</a:t>
          </a:r>
        </a:p>
      </xdr:txBody>
    </xdr:sp>
    <xdr:clientData/>
  </xdr:twoCellAnchor>
  <xdr:twoCellAnchor editAs="oneCell">
    <xdr:from>
      <xdr:col>12</xdr:col>
      <xdr:colOff>505407</xdr:colOff>
      <xdr:row>5</xdr:row>
      <xdr:rowOff>93306</xdr:rowOff>
    </xdr:from>
    <xdr:to>
      <xdr:col>13</xdr:col>
      <xdr:colOff>575387</xdr:colOff>
      <xdr:row>9</xdr:row>
      <xdr:rowOff>23326</xdr:rowOff>
    </xdr:to>
    <xdr:pic>
      <xdr:nvPicPr>
        <xdr:cNvPr id="85" name="Gráfico 84" descr="Moedas com preenchimento sólido">
          <a:extLst>
            <a:ext uri="{FF2B5EF4-FFF2-40B4-BE49-F238E27FC236}">
              <a16:creationId xmlns:a16="http://schemas.microsoft.com/office/drawing/2014/main" id="{EDE7D249-67BB-B243-5E90-2CADFAC2B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820607" y="989777"/>
          <a:ext cx="679580" cy="647196"/>
        </a:xfrm>
        <a:prstGeom prst="rect">
          <a:avLst/>
        </a:prstGeom>
      </xdr:spPr>
    </xdr:pic>
    <xdr:clientData/>
  </xdr:twoCellAnchor>
  <xdr:twoCellAnchor editAs="oneCell">
    <xdr:from>
      <xdr:col>4</xdr:col>
      <xdr:colOff>118898</xdr:colOff>
      <xdr:row>8</xdr:row>
      <xdr:rowOff>15551</xdr:rowOff>
    </xdr:from>
    <xdr:to>
      <xdr:col>5</xdr:col>
      <xdr:colOff>111122</xdr:colOff>
      <xdr:row>11</xdr:row>
      <xdr:rowOff>54428</xdr:rowOff>
    </xdr:to>
    <xdr:pic>
      <xdr:nvPicPr>
        <xdr:cNvPr id="87" name="Gráfico 86" descr="Grupo de homens com preenchimento sólido">
          <a:extLst>
            <a:ext uri="{FF2B5EF4-FFF2-40B4-BE49-F238E27FC236}">
              <a16:creationId xmlns:a16="http://schemas.microsoft.com/office/drawing/2014/main" id="{984D6336-7198-13C8-ED91-28C899F62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544857" y="1508449"/>
          <a:ext cx="598714" cy="598714"/>
        </a:xfrm>
        <a:prstGeom prst="rect">
          <a:avLst/>
        </a:prstGeom>
      </xdr:spPr>
    </xdr:pic>
    <xdr:clientData/>
  </xdr:twoCellAnchor>
  <xdr:twoCellAnchor editAs="oneCell">
    <xdr:from>
      <xdr:col>0</xdr:col>
      <xdr:colOff>222245</xdr:colOff>
      <xdr:row>1</xdr:row>
      <xdr:rowOff>4530</xdr:rowOff>
    </xdr:from>
    <xdr:to>
      <xdr:col>1</xdr:col>
      <xdr:colOff>54429</xdr:colOff>
      <xdr:row>3</xdr:row>
      <xdr:rowOff>69979</xdr:rowOff>
    </xdr:to>
    <xdr:pic>
      <xdr:nvPicPr>
        <xdr:cNvPr id="89" name="Gráfico 88" descr="Filtro com preenchimento sólido">
          <a:extLst>
            <a:ext uri="{FF2B5EF4-FFF2-40B4-BE49-F238E27FC236}">
              <a16:creationId xmlns:a16="http://schemas.microsoft.com/office/drawing/2014/main" id="{8CCA3E9E-8A3D-423E-18B9-63367B47E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22245" y="191142"/>
          <a:ext cx="438674" cy="438674"/>
        </a:xfrm>
        <a:prstGeom prst="rect">
          <a:avLst/>
        </a:prstGeom>
      </xdr:spPr>
    </xdr:pic>
    <xdr:clientData/>
  </xdr:twoCellAnchor>
  <xdr:twoCellAnchor>
    <xdr:from>
      <xdr:col>5</xdr:col>
      <xdr:colOff>170331</xdr:colOff>
      <xdr:row>7</xdr:row>
      <xdr:rowOff>98612</xdr:rowOff>
    </xdr:from>
    <xdr:to>
      <xdr:col>7</xdr:col>
      <xdr:colOff>152401</xdr:colOff>
      <xdr:row>12</xdr:row>
      <xdr:rowOff>8966</xdr:rowOff>
    </xdr:to>
    <xdr:sp macro="" textlink="Análise!C12">
      <xdr:nvSpPr>
        <xdr:cNvPr id="4" name="CaixaDeTexto 3">
          <a:extLst>
            <a:ext uri="{FF2B5EF4-FFF2-40B4-BE49-F238E27FC236}">
              <a16:creationId xmlns:a16="http://schemas.microsoft.com/office/drawing/2014/main" id="{FCFDB735-6994-07AB-3B57-DD6C01B0A95A}"/>
            </a:ext>
          </a:extLst>
        </xdr:cNvPr>
        <xdr:cNvSpPr txBox="1"/>
      </xdr:nvSpPr>
      <xdr:spPr>
        <a:xfrm>
          <a:off x="3218331" y="1394012"/>
          <a:ext cx="1201270" cy="835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1BAA81F-FF8F-46B5-8D3E-C00C0C09B336}" type="TxLink">
            <a:rPr lang="en-US" sz="4800" b="1" i="0" u="none" strike="noStrike">
              <a:solidFill>
                <a:schemeClr val="bg1"/>
              </a:solidFill>
              <a:latin typeface="Aptos Narrow"/>
            </a:rPr>
            <a:pPr/>
            <a:t>802</a:t>
          </a:fld>
          <a:endParaRPr lang="pt-BR" sz="48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322729</xdr:colOff>
      <xdr:row>21</xdr:row>
      <xdr:rowOff>44824</xdr:rowOff>
    </xdr:from>
    <xdr:to>
      <xdr:col>13</xdr:col>
      <xdr:colOff>591671</xdr:colOff>
      <xdr:row>35</xdr:row>
      <xdr:rowOff>93208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F425574-1E73-4B63-BC94-297068163A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510982</xdr:colOff>
      <xdr:row>17</xdr:row>
      <xdr:rowOff>53788</xdr:rowOff>
    </xdr:from>
    <xdr:to>
      <xdr:col>13</xdr:col>
      <xdr:colOff>486982</xdr:colOff>
      <xdr:row>20</xdr:row>
      <xdr:rowOff>19906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CB9DEA3-94BB-4841-9E9F-DE91DC437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510982</xdr:colOff>
      <xdr:row>20</xdr:row>
      <xdr:rowOff>8966</xdr:rowOff>
    </xdr:from>
    <xdr:to>
      <xdr:col>13</xdr:col>
      <xdr:colOff>486982</xdr:colOff>
      <xdr:row>22</xdr:row>
      <xdr:rowOff>152402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7B8CAA3-E213-47F7-9138-9A397DAF21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582702</xdr:colOff>
      <xdr:row>16</xdr:row>
      <xdr:rowOff>65764</xdr:rowOff>
    </xdr:from>
    <xdr:to>
      <xdr:col>10</xdr:col>
      <xdr:colOff>387189</xdr:colOff>
      <xdr:row>18</xdr:row>
      <xdr:rowOff>85981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BBD6E346-F448-46BB-BA5E-239FEC2773FC}"/>
            </a:ext>
          </a:extLst>
        </xdr:cNvPr>
        <xdr:cNvSpPr txBox="1"/>
      </xdr:nvSpPr>
      <xdr:spPr>
        <a:xfrm>
          <a:off x="5459502" y="2934470"/>
          <a:ext cx="1023687" cy="378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1" i="0" u="none" strike="noStrike">
              <a:solidFill>
                <a:schemeClr val="bg1"/>
              </a:solidFill>
              <a:latin typeface="+mn-lt"/>
            </a:rPr>
            <a:t>Feminino</a:t>
          </a:r>
          <a:endParaRPr lang="en-US" sz="1600" b="1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8</xdr:col>
      <xdr:colOff>573737</xdr:colOff>
      <xdr:row>19</xdr:row>
      <xdr:rowOff>38869</xdr:rowOff>
    </xdr:from>
    <xdr:to>
      <xdr:col>10</xdr:col>
      <xdr:colOff>423046</xdr:colOff>
      <xdr:row>21</xdr:row>
      <xdr:rowOff>59086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E70E4BA0-A352-B316-B0E7-851C53D62BB9}"/>
            </a:ext>
          </a:extLst>
        </xdr:cNvPr>
        <xdr:cNvSpPr txBox="1"/>
      </xdr:nvSpPr>
      <xdr:spPr>
        <a:xfrm>
          <a:off x="5450537" y="3445457"/>
          <a:ext cx="1068509" cy="378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400" b="1" i="0" u="none" strike="noStrike">
              <a:solidFill>
                <a:schemeClr val="bg1"/>
              </a:solidFill>
              <a:latin typeface="+mn-lt"/>
            </a:rPr>
            <a:t>Masculino</a:t>
          </a:r>
          <a:endParaRPr lang="en-US" sz="1600" b="1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12</xdr:col>
      <xdr:colOff>412374</xdr:colOff>
      <xdr:row>16</xdr:row>
      <xdr:rowOff>92658</xdr:rowOff>
    </xdr:from>
    <xdr:to>
      <xdr:col>13</xdr:col>
      <xdr:colOff>342368</xdr:colOff>
      <xdr:row>18</xdr:row>
      <xdr:rowOff>112875</xdr:rowOff>
    </xdr:to>
    <xdr:sp macro="" textlink="Análise!C10">
      <xdr:nvSpPr>
        <xdr:cNvPr id="16" name="CaixaDeTexto 15">
          <a:extLst>
            <a:ext uri="{FF2B5EF4-FFF2-40B4-BE49-F238E27FC236}">
              <a16:creationId xmlns:a16="http://schemas.microsoft.com/office/drawing/2014/main" id="{98012259-9C17-4921-C77A-74782827D636}"/>
            </a:ext>
          </a:extLst>
        </xdr:cNvPr>
        <xdr:cNvSpPr txBox="1"/>
      </xdr:nvSpPr>
      <xdr:spPr>
        <a:xfrm>
          <a:off x="7727574" y="2961364"/>
          <a:ext cx="539594" cy="378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3A8BE4DB-E4AA-496D-B670-DF06F4E8700A}" type="TxLink">
            <a:rPr lang="en-US" sz="1400" b="1" i="0" u="none" strike="noStrike">
              <a:solidFill>
                <a:schemeClr val="bg1"/>
              </a:solidFill>
              <a:latin typeface="Aptos Narrow"/>
            </a:rPr>
            <a:pPr algn="r"/>
            <a:t>352</a:t>
          </a:fld>
          <a:endParaRPr lang="en-US" sz="2000" b="1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12</xdr:col>
      <xdr:colOff>421338</xdr:colOff>
      <xdr:row>19</xdr:row>
      <xdr:rowOff>56800</xdr:rowOff>
    </xdr:from>
    <xdr:to>
      <xdr:col>13</xdr:col>
      <xdr:colOff>351332</xdr:colOff>
      <xdr:row>21</xdr:row>
      <xdr:rowOff>77017</xdr:rowOff>
    </xdr:to>
    <xdr:sp macro="" textlink="Análise!C11">
      <xdr:nvSpPr>
        <xdr:cNvPr id="18" name="CaixaDeTexto 17">
          <a:extLst>
            <a:ext uri="{FF2B5EF4-FFF2-40B4-BE49-F238E27FC236}">
              <a16:creationId xmlns:a16="http://schemas.microsoft.com/office/drawing/2014/main" id="{A11DFAA2-4E59-C157-4D0B-C68A459E072C}"/>
            </a:ext>
          </a:extLst>
        </xdr:cNvPr>
        <xdr:cNvSpPr txBox="1"/>
      </xdr:nvSpPr>
      <xdr:spPr>
        <a:xfrm>
          <a:off x="7736538" y="3463388"/>
          <a:ext cx="539594" cy="378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373E7318-8911-4659-A5F1-B1C8B0454931}" type="TxLink">
            <a:rPr lang="en-US" sz="1400" b="1" i="0" u="none" strike="noStrike">
              <a:solidFill>
                <a:schemeClr val="bg1"/>
              </a:solidFill>
              <a:latin typeface="Aptos Narrow"/>
            </a:rPr>
            <a:pPr algn="r"/>
            <a:t>450</a:t>
          </a:fld>
          <a:endParaRPr lang="en-US" sz="2800" b="1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13</xdr:col>
      <xdr:colOff>242046</xdr:colOff>
      <xdr:row>17</xdr:row>
      <xdr:rowOff>110587</xdr:rowOff>
    </xdr:from>
    <xdr:to>
      <xdr:col>14</xdr:col>
      <xdr:colOff>172040</xdr:colOff>
      <xdr:row>19</xdr:row>
      <xdr:rowOff>130804</xdr:rowOff>
    </xdr:to>
    <xdr:sp macro="" textlink="Análise!D10">
      <xdr:nvSpPr>
        <xdr:cNvPr id="19" name="CaixaDeTexto 18">
          <a:extLst>
            <a:ext uri="{FF2B5EF4-FFF2-40B4-BE49-F238E27FC236}">
              <a16:creationId xmlns:a16="http://schemas.microsoft.com/office/drawing/2014/main" id="{E4AE76D2-0130-579C-4FA2-837865A25B97}"/>
            </a:ext>
          </a:extLst>
        </xdr:cNvPr>
        <xdr:cNvSpPr txBox="1"/>
      </xdr:nvSpPr>
      <xdr:spPr>
        <a:xfrm>
          <a:off x="8166846" y="3158587"/>
          <a:ext cx="539594" cy="378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48F99C1E-4BB2-426D-B5D8-E4E5D1B64321}" type="TxLink">
            <a:rPr lang="en-US" sz="1200" b="1" i="0" u="none" strike="noStrike">
              <a:solidFill>
                <a:schemeClr val="accent1"/>
              </a:solidFill>
              <a:latin typeface="Aptos Narrow"/>
              <a:ea typeface="+mn-ea"/>
              <a:cs typeface="+mn-cs"/>
            </a:rPr>
            <a:pPr marL="0" indent="0" algn="r"/>
            <a:t>44%</a:t>
          </a:fld>
          <a:endParaRPr lang="en-US" sz="1200" b="1" i="0" u="none" strike="noStrike">
            <a:solidFill>
              <a:schemeClr val="accent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233081</xdr:colOff>
      <xdr:row>20</xdr:row>
      <xdr:rowOff>65764</xdr:rowOff>
    </xdr:from>
    <xdr:to>
      <xdr:col>14</xdr:col>
      <xdr:colOff>163075</xdr:colOff>
      <xdr:row>22</xdr:row>
      <xdr:rowOff>85980</xdr:rowOff>
    </xdr:to>
    <xdr:sp macro="" textlink="Análise!D11">
      <xdr:nvSpPr>
        <xdr:cNvPr id="20" name="CaixaDeTexto 19">
          <a:extLst>
            <a:ext uri="{FF2B5EF4-FFF2-40B4-BE49-F238E27FC236}">
              <a16:creationId xmlns:a16="http://schemas.microsoft.com/office/drawing/2014/main" id="{4E9FF2DB-D248-931B-ED3F-60CFC2D4CE11}"/>
            </a:ext>
          </a:extLst>
        </xdr:cNvPr>
        <xdr:cNvSpPr txBox="1"/>
      </xdr:nvSpPr>
      <xdr:spPr>
        <a:xfrm>
          <a:off x="8157881" y="3651646"/>
          <a:ext cx="539594" cy="378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r"/>
          <a:fld id="{A66B9772-60D7-44BE-8934-646076BB0507}" type="TxLink">
            <a:rPr lang="en-US" sz="1200" b="1" i="0" u="none" strike="noStrike">
              <a:solidFill>
                <a:schemeClr val="accent1"/>
              </a:solidFill>
              <a:latin typeface="Aptos Narrow"/>
              <a:ea typeface="+mn-ea"/>
              <a:cs typeface="+mn-cs"/>
            </a:rPr>
            <a:pPr marL="0" indent="0" algn="r"/>
            <a:t>56%</a:t>
          </a:fld>
          <a:endParaRPr lang="en-US" sz="1200" b="1" i="0" u="none" strike="noStrike">
            <a:solidFill>
              <a:schemeClr val="accent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609599</xdr:colOff>
      <xdr:row>7</xdr:row>
      <xdr:rowOff>0</xdr:rowOff>
    </xdr:from>
    <xdr:to>
      <xdr:col>23</xdr:col>
      <xdr:colOff>161364</xdr:colOff>
      <xdr:row>15</xdr:row>
      <xdr:rowOff>80682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E612D1B4-167C-4912-BF84-6CCD595C2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479612</xdr:colOff>
      <xdr:row>13</xdr:row>
      <xdr:rowOff>22411</xdr:rowOff>
    </xdr:from>
    <xdr:to>
      <xdr:col>23</xdr:col>
      <xdr:colOff>502024</xdr:colOff>
      <xdr:row>15</xdr:row>
      <xdr:rowOff>8964</xdr:rowOff>
    </xdr:to>
    <xdr:sp macro="" textlink="Análise!P17">
      <xdr:nvSpPr>
        <xdr:cNvPr id="22" name="CaixaDeTexto 21">
          <a:extLst>
            <a:ext uri="{FF2B5EF4-FFF2-40B4-BE49-F238E27FC236}">
              <a16:creationId xmlns:a16="http://schemas.microsoft.com/office/drawing/2014/main" id="{9A08F0A1-F11D-86E7-A2A3-D5B5D642B88C}"/>
            </a:ext>
          </a:extLst>
        </xdr:cNvPr>
        <xdr:cNvSpPr txBox="1"/>
      </xdr:nvSpPr>
      <xdr:spPr>
        <a:xfrm>
          <a:off x="13890812" y="2353235"/>
          <a:ext cx="632012" cy="3451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508B986-4B16-4799-B797-FE08BA608D08}" type="TxLink">
            <a:rPr lang="en-US" sz="1600" b="1" i="0" u="none" strike="noStrike">
              <a:solidFill>
                <a:schemeClr val="bg1"/>
              </a:solidFill>
              <a:latin typeface="Aptos Narrow"/>
            </a:rPr>
            <a:pPr/>
            <a:t>802</a:t>
          </a:fld>
          <a:endParaRPr lang="pt-BR" sz="1600" b="1">
            <a:solidFill>
              <a:schemeClr val="bg1"/>
            </a:solidFill>
          </a:endParaRPr>
        </a:p>
      </xdr:txBody>
    </xdr:sp>
    <xdr:clientData/>
  </xdr:twoCellAnchor>
  <xdr:oneCellAnchor>
    <xdr:from>
      <xdr:col>14</xdr:col>
      <xdr:colOff>439271</xdr:colOff>
      <xdr:row>7</xdr:row>
      <xdr:rowOff>161365</xdr:rowOff>
    </xdr:from>
    <xdr:ext cx="184731" cy="26456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83A18F45-A662-3AAA-45ED-DCBD4E4F8B92}"/>
            </a:ext>
          </a:extLst>
        </xdr:cNvPr>
        <xdr:cNvSpPr txBox="1"/>
      </xdr:nvSpPr>
      <xdr:spPr>
        <a:xfrm>
          <a:off x="8973671" y="141642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21</xdr:col>
      <xdr:colOff>564776</xdr:colOff>
      <xdr:row>13</xdr:row>
      <xdr:rowOff>13446</xdr:rowOff>
    </xdr:from>
    <xdr:to>
      <xdr:col>23</xdr:col>
      <xdr:colOff>53788</xdr:colOff>
      <xdr:row>14</xdr:row>
      <xdr:rowOff>179293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6B29B57B-873B-5BB1-66BA-E40D7D9F5C2F}"/>
            </a:ext>
          </a:extLst>
        </xdr:cNvPr>
        <xdr:cNvSpPr txBox="1"/>
      </xdr:nvSpPr>
      <xdr:spPr>
        <a:xfrm>
          <a:off x="13366376" y="2344270"/>
          <a:ext cx="708212" cy="3451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i="0" u="none" strike="noStrike">
              <a:solidFill>
                <a:schemeClr val="bg1"/>
              </a:solidFill>
              <a:latin typeface="Aptos Narrow"/>
            </a:rPr>
            <a:t>Total:</a:t>
          </a:r>
        </a:p>
      </xdr:txBody>
    </xdr:sp>
    <xdr:clientData/>
  </xdr:twoCellAnchor>
  <xdr:twoCellAnchor>
    <xdr:from>
      <xdr:col>14</xdr:col>
      <xdr:colOff>381192</xdr:colOff>
      <xdr:row>19</xdr:row>
      <xdr:rowOff>17761</xdr:rowOff>
    </xdr:from>
    <xdr:to>
      <xdr:col>17</xdr:col>
      <xdr:colOff>537878</xdr:colOff>
      <xdr:row>21</xdr:row>
      <xdr:rowOff>37978</xdr:rowOff>
    </xdr:to>
    <xdr:sp macro="" textlink="Análise!AA16">
      <xdr:nvSpPr>
        <xdr:cNvPr id="29" name="CaixaDeTexto 28">
          <a:extLst>
            <a:ext uri="{FF2B5EF4-FFF2-40B4-BE49-F238E27FC236}">
              <a16:creationId xmlns:a16="http://schemas.microsoft.com/office/drawing/2014/main" id="{2E0721EF-513A-8EC2-B7BB-82593006F44D}"/>
            </a:ext>
          </a:extLst>
        </xdr:cNvPr>
        <xdr:cNvSpPr txBox="1"/>
      </xdr:nvSpPr>
      <xdr:spPr>
        <a:xfrm>
          <a:off x="8915592" y="3424349"/>
          <a:ext cx="1985486" cy="378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4C1C3409-0354-4960-8218-A279EF4F43D1}" type="TxLink">
            <a:rPr lang="en-US" sz="1400" b="0" i="0" u="none" strike="noStrike">
              <a:solidFill>
                <a:schemeClr val="bg1"/>
              </a:solidFill>
              <a:latin typeface="Aptos Narrow"/>
            </a:rPr>
            <a:pPr algn="l"/>
            <a:t>Produto Excelente</a:t>
          </a:fld>
          <a:endParaRPr lang="en-US" sz="1800" b="0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14</xdr:col>
      <xdr:colOff>381192</xdr:colOff>
      <xdr:row>21</xdr:row>
      <xdr:rowOff>35692</xdr:rowOff>
    </xdr:from>
    <xdr:to>
      <xdr:col>17</xdr:col>
      <xdr:colOff>537878</xdr:colOff>
      <xdr:row>23</xdr:row>
      <xdr:rowOff>55908</xdr:rowOff>
    </xdr:to>
    <xdr:sp macro="" textlink="Análise!AA17">
      <xdr:nvSpPr>
        <xdr:cNvPr id="30" name="CaixaDeTexto 29">
          <a:extLst>
            <a:ext uri="{FF2B5EF4-FFF2-40B4-BE49-F238E27FC236}">
              <a16:creationId xmlns:a16="http://schemas.microsoft.com/office/drawing/2014/main" id="{5607CBE7-723E-8BAB-B3ED-7BE6DAF51D03}"/>
            </a:ext>
          </a:extLst>
        </xdr:cNvPr>
        <xdr:cNvSpPr txBox="1"/>
      </xdr:nvSpPr>
      <xdr:spPr>
        <a:xfrm>
          <a:off x="8915592" y="3800868"/>
          <a:ext cx="1985486" cy="378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C6AC8F56-EB2C-488F-8683-823DE6A96505}" type="TxLink">
            <a:rPr lang="en-US" sz="1400" b="0" i="0" u="none" strike="noStrike">
              <a:solidFill>
                <a:schemeClr val="bg1"/>
              </a:solidFill>
              <a:latin typeface="Aptos Narrow"/>
            </a:rPr>
            <a:pPr algn="l"/>
            <a:t>Atendimento Bom</a:t>
          </a:fld>
          <a:endParaRPr lang="en-US" sz="1800" b="0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14</xdr:col>
      <xdr:colOff>381192</xdr:colOff>
      <xdr:row>23</xdr:row>
      <xdr:rowOff>53622</xdr:rowOff>
    </xdr:from>
    <xdr:to>
      <xdr:col>17</xdr:col>
      <xdr:colOff>537878</xdr:colOff>
      <xdr:row>25</xdr:row>
      <xdr:rowOff>73839</xdr:rowOff>
    </xdr:to>
    <xdr:sp macro="" textlink="Análise!AA18">
      <xdr:nvSpPr>
        <xdr:cNvPr id="31" name="CaixaDeTexto 30">
          <a:extLst>
            <a:ext uri="{FF2B5EF4-FFF2-40B4-BE49-F238E27FC236}">
              <a16:creationId xmlns:a16="http://schemas.microsoft.com/office/drawing/2014/main" id="{A6662059-CCFD-6731-B2F5-74FCC1D57077}"/>
            </a:ext>
          </a:extLst>
        </xdr:cNvPr>
        <xdr:cNvSpPr txBox="1"/>
      </xdr:nvSpPr>
      <xdr:spPr>
        <a:xfrm>
          <a:off x="8915592" y="4177387"/>
          <a:ext cx="1985486" cy="378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558D2808-831A-40FF-9617-25C0A6CDE08A}" type="TxLink">
            <a:rPr lang="en-US" sz="1400" b="0" i="0" u="none" strike="noStrike">
              <a:solidFill>
                <a:schemeClr val="bg1"/>
              </a:solidFill>
              <a:latin typeface="Aptos Narrow"/>
            </a:rPr>
            <a:pPr algn="l"/>
            <a:t>Faltando Item</a:t>
          </a:fld>
          <a:endParaRPr lang="en-US" sz="1800" b="0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14</xdr:col>
      <xdr:colOff>381192</xdr:colOff>
      <xdr:row>25</xdr:row>
      <xdr:rowOff>71553</xdr:rowOff>
    </xdr:from>
    <xdr:to>
      <xdr:col>17</xdr:col>
      <xdr:colOff>537878</xdr:colOff>
      <xdr:row>27</xdr:row>
      <xdr:rowOff>91770</xdr:rowOff>
    </xdr:to>
    <xdr:sp macro="" textlink="Análise!AA19">
      <xdr:nvSpPr>
        <xdr:cNvPr id="32" name="CaixaDeTexto 31">
          <a:extLst>
            <a:ext uri="{FF2B5EF4-FFF2-40B4-BE49-F238E27FC236}">
              <a16:creationId xmlns:a16="http://schemas.microsoft.com/office/drawing/2014/main" id="{35C4AAF8-05AD-9614-8F2E-D98C21A21825}"/>
            </a:ext>
          </a:extLst>
        </xdr:cNvPr>
        <xdr:cNvSpPr txBox="1"/>
      </xdr:nvSpPr>
      <xdr:spPr>
        <a:xfrm>
          <a:off x="8915592" y="4553906"/>
          <a:ext cx="1985486" cy="378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81B4D4D6-966F-4CBB-BF9F-6C88EF957188}" type="TxLink">
            <a:rPr lang="en-US" sz="1400" b="0" i="0" u="none" strike="noStrike">
              <a:solidFill>
                <a:schemeClr val="bg1"/>
              </a:solidFill>
              <a:latin typeface="Aptos Narrow"/>
            </a:rPr>
            <a:pPr algn="l"/>
            <a:t>Atraso na Entrega</a:t>
          </a:fld>
          <a:endParaRPr lang="en-US" sz="1800" b="0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14</xdr:col>
      <xdr:colOff>381192</xdr:colOff>
      <xdr:row>27</xdr:row>
      <xdr:rowOff>89484</xdr:rowOff>
    </xdr:from>
    <xdr:to>
      <xdr:col>17</xdr:col>
      <xdr:colOff>537878</xdr:colOff>
      <xdr:row>29</xdr:row>
      <xdr:rowOff>109701</xdr:rowOff>
    </xdr:to>
    <xdr:sp macro="" textlink="Análise!AA20">
      <xdr:nvSpPr>
        <xdr:cNvPr id="33" name="CaixaDeTexto 32">
          <a:extLst>
            <a:ext uri="{FF2B5EF4-FFF2-40B4-BE49-F238E27FC236}">
              <a16:creationId xmlns:a16="http://schemas.microsoft.com/office/drawing/2014/main" id="{BFB1A14E-438C-63B1-A928-511F61CD7EA6}"/>
            </a:ext>
          </a:extLst>
        </xdr:cNvPr>
        <xdr:cNvSpPr txBox="1"/>
      </xdr:nvSpPr>
      <xdr:spPr>
        <a:xfrm>
          <a:off x="8915592" y="4930425"/>
          <a:ext cx="1985486" cy="378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F9194664-7FD0-4996-888D-95787014608D}" type="TxLink">
            <a:rPr lang="en-US" sz="1400" b="0" i="0" u="none" strike="noStrike">
              <a:solidFill>
                <a:schemeClr val="bg1"/>
              </a:solidFill>
              <a:latin typeface="Aptos Narrow"/>
            </a:rPr>
            <a:pPr algn="l"/>
            <a:t>Suporte Ruim</a:t>
          </a:fld>
          <a:endParaRPr lang="en-US" sz="1800" b="0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14</xdr:col>
      <xdr:colOff>381192</xdr:colOff>
      <xdr:row>29</xdr:row>
      <xdr:rowOff>107415</xdr:rowOff>
    </xdr:from>
    <xdr:to>
      <xdr:col>17</xdr:col>
      <xdr:colOff>537878</xdr:colOff>
      <xdr:row>31</xdr:row>
      <xdr:rowOff>127631</xdr:rowOff>
    </xdr:to>
    <xdr:sp macro="" textlink="Análise!AA21">
      <xdr:nvSpPr>
        <xdr:cNvPr id="37" name="CaixaDeTexto 36">
          <a:extLst>
            <a:ext uri="{FF2B5EF4-FFF2-40B4-BE49-F238E27FC236}">
              <a16:creationId xmlns:a16="http://schemas.microsoft.com/office/drawing/2014/main" id="{B22CA527-A09F-058E-D2FE-5A3F55E98962}"/>
            </a:ext>
          </a:extLst>
        </xdr:cNvPr>
        <xdr:cNvSpPr txBox="1"/>
      </xdr:nvSpPr>
      <xdr:spPr>
        <a:xfrm>
          <a:off x="8915592" y="5306944"/>
          <a:ext cx="1985486" cy="378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1DE8286E-5565-4963-92D3-38CE825F14B0}" type="TxLink">
            <a:rPr lang="en-US" sz="1400" b="0" i="0" u="none" strike="noStrike">
              <a:solidFill>
                <a:schemeClr val="bg1"/>
              </a:solidFill>
              <a:latin typeface="Aptos Narrow"/>
            </a:rPr>
            <a:pPr algn="l"/>
            <a:t>Embalagem Danificada</a:t>
          </a:fld>
          <a:endParaRPr lang="en-US" sz="1800" b="0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14</xdr:col>
      <xdr:colOff>381192</xdr:colOff>
      <xdr:row>31</xdr:row>
      <xdr:rowOff>125345</xdr:rowOff>
    </xdr:from>
    <xdr:to>
      <xdr:col>17</xdr:col>
      <xdr:colOff>537878</xdr:colOff>
      <xdr:row>33</xdr:row>
      <xdr:rowOff>145562</xdr:rowOff>
    </xdr:to>
    <xdr:sp macro="" textlink="Análise!AA22">
      <xdr:nvSpPr>
        <xdr:cNvPr id="40" name="CaixaDeTexto 39">
          <a:extLst>
            <a:ext uri="{FF2B5EF4-FFF2-40B4-BE49-F238E27FC236}">
              <a16:creationId xmlns:a16="http://schemas.microsoft.com/office/drawing/2014/main" id="{F73E3412-A1D4-90C9-A150-CE315777CBDB}"/>
            </a:ext>
          </a:extLst>
        </xdr:cNvPr>
        <xdr:cNvSpPr txBox="1"/>
      </xdr:nvSpPr>
      <xdr:spPr>
        <a:xfrm>
          <a:off x="8915592" y="5683463"/>
          <a:ext cx="1985486" cy="378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EF53C932-2309-41E6-AAE6-88EE1F0FE2D3}" type="TxLink">
            <a:rPr lang="en-US" sz="1400" b="0" i="0" u="none" strike="noStrike">
              <a:solidFill>
                <a:schemeClr val="bg1"/>
              </a:solidFill>
              <a:latin typeface="Aptos Narrow"/>
            </a:rPr>
            <a:pPr algn="l"/>
            <a:t>Produto com defeito</a:t>
          </a:fld>
          <a:endParaRPr lang="en-US" sz="1800" b="0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14</xdr:col>
      <xdr:colOff>381192</xdr:colOff>
      <xdr:row>33</xdr:row>
      <xdr:rowOff>143276</xdr:rowOff>
    </xdr:from>
    <xdr:to>
      <xdr:col>17</xdr:col>
      <xdr:colOff>537878</xdr:colOff>
      <xdr:row>35</xdr:row>
      <xdr:rowOff>163493</xdr:rowOff>
    </xdr:to>
    <xdr:sp macro="" textlink="Análise!AA23">
      <xdr:nvSpPr>
        <xdr:cNvPr id="41" name="CaixaDeTexto 40">
          <a:extLst>
            <a:ext uri="{FF2B5EF4-FFF2-40B4-BE49-F238E27FC236}">
              <a16:creationId xmlns:a16="http://schemas.microsoft.com/office/drawing/2014/main" id="{CFC2460E-A2F0-EF21-C5C3-1E9D26525EF0}"/>
            </a:ext>
          </a:extLst>
        </xdr:cNvPr>
        <xdr:cNvSpPr txBox="1"/>
      </xdr:nvSpPr>
      <xdr:spPr>
        <a:xfrm>
          <a:off x="8915592" y="6059982"/>
          <a:ext cx="1985486" cy="3788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E670F6D9-DD05-43D8-8105-27E46FD9E021}" type="TxLink">
            <a:rPr lang="en-US" sz="1400" b="0" i="0" u="none" strike="noStrike">
              <a:solidFill>
                <a:schemeClr val="bg1"/>
              </a:solidFill>
              <a:latin typeface="Aptos Narrow"/>
            </a:rPr>
            <a:pPr algn="l"/>
            <a:t>Boa qualidade</a:t>
          </a:fld>
          <a:endParaRPr lang="en-US" sz="1800" b="0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18</xdr:col>
      <xdr:colOff>1106</xdr:colOff>
      <xdr:row>19</xdr:row>
      <xdr:rowOff>125340</xdr:rowOff>
    </xdr:from>
    <xdr:to>
      <xdr:col>18</xdr:col>
      <xdr:colOff>480527</xdr:colOff>
      <xdr:row>20</xdr:row>
      <xdr:rowOff>170332</xdr:rowOff>
    </xdr:to>
    <xdr:sp macro="" textlink="Análise!AB16">
      <xdr:nvSpPr>
        <xdr:cNvPr id="42" name="CaixaDeTexto 41">
          <a:extLst>
            <a:ext uri="{FF2B5EF4-FFF2-40B4-BE49-F238E27FC236}">
              <a16:creationId xmlns:a16="http://schemas.microsoft.com/office/drawing/2014/main" id="{9E6074BF-1CD8-D360-964F-3E48A851621B}"/>
            </a:ext>
          </a:extLst>
        </xdr:cNvPr>
        <xdr:cNvSpPr txBox="1"/>
      </xdr:nvSpPr>
      <xdr:spPr>
        <a:xfrm>
          <a:off x="10973906" y="3531928"/>
          <a:ext cx="479421" cy="2242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F8734696-B11C-4A33-86F9-9FE9C94A6C3B}" type="TxLink">
            <a:rPr lang="en-US" sz="1400" b="0" i="0" u="none" strike="noStrike">
              <a:solidFill>
                <a:schemeClr val="bg1"/>
              </a:solidFill>
              <a:latin typeface="Aptos Narrow"/>
            </a:rPr>
            <a:pPr algn="r"/>
            <a:t>333</a:t>
          </a:fld>
          <a:endParaRPr lang="en-US" sz="1800" b="0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18</xdr:col>
      <xdr:colOff>1106</xdr:colOff>
      <xdr:row>21</xdr:row>
      <xdr:rowOff>134302</xdr:rowOff>
    </xdr:from>
    <xdr:to>
      <xdr:col>18</xdr:col>
      <xdr:colOff>480527</xdr:colOff>
      <xdr:row>23</xdr:row>
      <xdr:rowOff>8964</xdr:rowOff>
    </xdr:to>
    <xdr:sp macro="" textlink="Análise!AB17">
      <xdr:nvSpPr>
        <xdr:cNvPr id="44" name="CaixaDeTexto 43">
          <a:extLst>
            <a:ext uri="{FF2B5EF4-FFF2-40B4-BE49-F238E27FC236}">
              <a16:creationId xmlns:a16="http://schemas.microsoft.com/office/drawing/2014/main" id="{A89E1137-E2CE-9928-086B-21D93FFA0E8D}"/>
            </a:ext>
          </a:extLst>
        </xdr:cNvPr>
        <xdr:cNvSpPr txBox="1"/>
      </xdr:nvSpPr>
      <xdr:spPr>
        <a:xfrm>
          <a:off x="10973906" y="3899478"/>
          <a:ext cx="479421" cy="233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D34DD417-5A45-4FC5-9258-6580E1D59790}" type="TxLink">
            <a:rPr lang="en-US" sz="1400" b="0" i="0" u="none" strike="noStrike">
              <a:solidFill>
                <a:schemeClr val="bg1"/>
              </a:solidFill>
              <a:latin typeface="Aptos Narrow"/>
            </a:rPr>
            <a:pPr algn="r"/>
            <a:t>190</a:t>
          </a:fld>
          <a:endParaRPr lang="en-US" sz="1800" b="0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18</xdr:col>
      <xdr:colOff>1106</xdr:colOff>
      <xdr:row>23</xdr:row>
      <xdr:rowOff>179126</xdr:rowOff>
    </xdr:from>
    <xdr:to>
      <xdr:col>18</xdr:col>
      <xdr:colOff>480527</xdr:colOff>
      <xdr:row>25</xdr:row>
      <xdr:rowOff>62754</xdr:rowOff>
    </xdr:to>
    <xdr:sp macro="" textlink="Análise!AB18">
      <xdr:nvSpPr>
        <xdr:cNvPr id="46" name="CaixaDeTexto 45">
          <a:extLst>
            <a:ext uri="{FF2B5EF4-FFF2-40B4-BE49-F238E27FC236}">
              <a16:creationId xmlns:a16="http://schemas.microsoft.com/office/drawing/2014/main" id="{F7D2DFE9-AACC-27E3-DC11-B8F81D59FB9A}"/>
            </a:ext>
          </a:extLst>
        </xdr:cNvPr>
        <xdr:cNvSpPr txBox="1"/>
      </xdr:nvSpPr>
      <xdr:spPr>
        <a:xfrm>
          <a:off x="10973906" y="4302891"/>
          <a:ext cx="479421" cy="2422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B09B9044-552F-4DE8-A99E-A765392307C1}" type="TxLink">
            <a:rPr lang="en-US" sz="1400" b="0" i="0" u="none" strike="noStrike">
              <a:solidFill>
                <a:schemeClr val="bg1"/>
              </a:solidFill>
              <a:latin typeface="Aptos Narrow"/>
            </a:rPr>
            <a:pPr algn="r"/>
            <a:t>70</a:t>
          </a:fld>
          <a:endParaRPr lang="en-US" sz="1800" b="0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18</xdr:col>
      <xdr:colOff>1106</xdr:colOff>
      <xdr:row>26</xdr:row>
      <xdr:rowOff>8797</xdr:rowOff>
    </xdr:from>
    <xdr:to>
      <xdr:col>18</xdr:col>
      <xdr:colOff>480527</xdr:colOff>
      <xdr:row>27</xdr:row>
      <xdr:rowOff>71719</xdr:rowOff>
    </xdr:to>
    <xdr:sp macro="" textlink="Análise!AB19">
      <xdr:nvSpPr>
        <xdr:cNvPr id="55" name="CaixaDeTexto 54">
          <a:extLst>
            <a:ext uri="{FF2B5EF4-FFF2-40B4-BE49-F238E27FC236}">
              <a16:creationId xmlns:a16="http://schemas.microsoft.com/office/drawing/2014/main" id="{BA862044-223C-A039-314A-E6DBBAC21240}"/>
            </a:ext>
          </a:extLst>
        </xdr:cNvPr>
        <xdr:cNvSpPr txBox="1"/>
      </xdr:nvSpPr>
      <xdr:spPr>
        <a:xfrm>
          <a:off x="10973906" y="4670444"/>
          <a:ext cx="479421" cy="2422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AA21EAA8-F232-4B19-A475-A9D3DFB5EEC8}" type="TxLink">
            <a:rPr lang="en-US" sz="1400" b="0" i="0" u="none" strike="noStrike">
              <a:solidFill>
                <a:schemeClr val="bg1"/>
              </a:solidFill>
              <a:latin typeface="Aptos Narrow"/>
            </a:rPr>
            <a:pPr algn="r"/>
            <a:t>69</a:t>
          </a:fld>
          <a:endParaRPr lang="en-US" sz="1800" b="0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18</xdr:col>
      <xdr:colOff>1106</xdr:colOff>
      <xdr:row>27</xdr:row>
      <xdr:rowOff>179126</xdr:rowOff>
    </xdr:from>
    <xdr:to>
      <xdr:col>18</xdr:col>
      <xdr:colOff>480527</xdr:colOff>
      <xdr:row>29</xdr:row>
      <xdr:rowOff>62754</xdr:rowOff>
    </xdr:to>
    <xdr:sp macro="" textlink="Análise!AB20">
      <xdr:nvSpPr>
        <xdr:cNvPr id="56" name="CaixaDeTexto 55">
          <a:extLst>
            <a:ext uri="{FF2B5EF4-FFF2-40B4-BE49-F238E27FC236}">
              <a16:creationId xmlns:a16="http://schemas.microsoft.com/office/drawing/2014/main" id="{5150A255-9716-87ED-3D2B-1FFFE70356AD}"/>
            </a:ext>
          </a:extLst>
        </xdr:cNvPr>
        <xdr:cNvSpPr txBox="1"/>
      </xdr:nvSpPr>
      <xdr:spPr>
        <a:xfrm>
          <a:off x="10973906" y="5020067"/>
          <a:ext cx="479421" cy="2422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17E1828C-BEAB-4BD5-871D-51A0FCD78D39}" type="TxLink">
            <a:rPr lang="en-US" sz="1400" b="0" i="0" u="none" strike="noStrike">
              <a:solidFill>
                <a:schemeClr val="bg1"/>
              </a:solidFill>
              <a:latin typeface="Aptos Narrow"/>
            </a:rPr>
            <a:pPr algn="r"/>
            <a:t>47</a:t>
          </a:fld>
          <a:endParaRPr lang="en-US" sz="1800" b="0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18</xdr:col>
      <xdr:colOff>1106</xdr:colOff>
      <xdr:row>30</xdr:row>
      <xdr:rowOff>26726</xdr:rowOff>
    </xdr:from>
    <xdr:to>
      <xdr:col>18</xdr:col>
      <xdr:colOff>480527</xdr:colOff>
      <xdr:row>31</xdr:row>
      <xdr:rowOff>89648</xdr:rowOff>
    </xdr:to>
    <xdr:sp macro="" textlink="Análise!AB21">
      <xdr:nvSpPr>
        <xdr:cNvPr id="57" name="CaixaDeTexto 56">
          <a:extLst>
            <a:ext uri="{FF2B5EF4-FFF2-40B4-BE49-F238E27FC236}">
              <a16:creationId xmlns:a16="http://schemas.microsoft.com/office/drawing/2014/main" id="{AC0260DB-E865-B2A5-641E-6DC2B6D14CA5}"/>
            </a:ext>
          </a:extLst>
        </xdr:cNvPr>
        <xdr:cNvSpPr txBox="1"/>
      </xdr:nvSpPr>
      <xdr:spPr>
        <a:xfrm>
          <a:off x="10973906" y="5405550"/>
          <a:ext cx="479421" cy="2422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F2B3F590-4D84-420C-8E00-A9FAEF0B82EC}" type="TxLink">
            <a:rPr lang="en-US" sz="1400" b="0" i="0" u="none" strike="noStrike">
              <a:solidFill>
                <a:schemeClr val="bg1"/>
              </a:solidFill>
              <a:latin typeface="Aptos Narrow"/>
            </a:rPr>
            <a:pPr algn="r"/>
            <a:t>47</a:t>
          </a:fld>
          <a:endParaRPr lang="en-US" sz="1800" b="0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18</xdr:col>
      <xdr:colOff>1106</xdr:colOff>
      <xdr:row>32</xdr:row>
      <xdr:rowOff>35691</xdr:rowOff>
    </xdr:from>
    <xdr:to>
      <xdr:col>18</xdr:col>
      <xdr:colOff>480527</xdr:colOff>
      <xdr:row>33</xdr:row>
      <xdr:rowOff>98613</xdr:rowOff>
    </xdr:to>
    <xdr:sp macro="" textlink="Análise!AB22">
      <xdr:nvSpPr>
        <xdr:cNvPr id="58" name="CaixaDeTexto 57">
          <a:extLst>
            <a:ext uri="{FF2B5EF4-FFF2-40B4-BE49-F238E27FC236}">
              <a16:creationId xmlns:a16="http://schemas.microsoft.com/office/drawing/2014/main" id="{ABC67A49-347E-5620-85B3-57D113E0640F}"/>
            </a:ext>
          </a:extLst>
        </xdr:cNvPr>
        <xdr:cNvSpPr txBox="1"/>
      </xdr:nvSpPr>
      <xdr:spPr>
        <a:xfrm>
          <a:off x="10973906" y="5773103"/>
          <a:ext cx="479421" cy="2422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001697EF-AF09-432F-8CD8-55DA41BA2C66}" type="TxLink">
            <a:rPr lang="en-US" sz="1400" b="0" i="0" u="none" strike="noStrike">
              <a:solidFill>
                <a:schemeClr val="bg1"/>
              </a:solidFill>
              <a:latin typeface="Aptos Narrow"/>
            </a:rPr>
            <a:pPr algn="r"/>
            <a:t>23</a:t>
          </a:fld>
          <a:endParaRPr lang="en-US" sz="1800" b="0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18</xdr:col>
      <xdr:colOff>1106</xdr:colOff>
      <xdr:row>34</xdr:row>
      <xdr:rowOff>44656</xdr:rowOff>
    </xdr:from>
    <xdr:to>
      <xdr:col>18</xdr:col>
      <xdr:colOff>480527</xdr:colOff>
      <xdr:row>35</xdr:row>
      <xdr:rowOff>107578</xdr:rowOff>
    </xdr:to>
    <xdr:sp macro="" textlink="Análise!AB23">
      <xdr:nvSpPr>
        <xdr:cNvPr id="59" name="CaixaDeTexto 58">
          <a:extLst>
            <a:ext uri="{FF2B5EF4-FFF2-40B4-BE49-F238E27FC236}">
              <a16:creationId xmlns:a16="http://schemas.microsoft.com/office/drawing/2014/main" id="{780B7720-4AEA-14D2-120A-2EA5AD943707}"/>
            </a:ext>
          </a:extLst>
        </xdr:cNvPr>
        <xdr:cNvSpPr txBox="1"/>
      </xdr:nvSpPr>
      <xdr:spPr>
        <a:xfrm>
          <a:off x="10973906" y="6140656"/>
          <a:ext cx="479421" cy="2422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fld id="{7C37137E-F6AF-4289-8ADE-F06AF7305487}" type="TxLink">
            <a:rPr lang="en-US" sz="1400" b="0" i="0" u="none" strike="noStrike">
              <a:solidFill>
                <a:schemeClr val="bg1"/>
              </a:solidFill>
              <a:latin typeface="Aptos Narrow"/>
            </a:rPr>
            <a:pPr algn="r"/>
            <a:t>23</a:t>
          </a:fld>
          <a:endParaRPr lang="en-US" sz="1800" b="0" i="0" u="none" strike="noStrike">
            <a:solidFill>
              <a:schemeClr val="bg1"/>
            </a:solidFill>
            <a:latin typeface="+mn-lt"/>
          </a:endParaRPr>
        </a:p>
      </xdr:txBody>
    </xdr:sp>
    <xdr:clientData/>
  </xdr:twoCellAnchor>
  <xdr:twoCellAnchor>
    <xdr:from>
      <xdr:col>14</xdr:col>
      <xdr:colOff>376518</xdr:colOff>
      <xdr:row>19</xdr:row>
      <xdr:rowOff>71717</xdr:rowOff>
    </xdr:from>
    <xdr:to>
      <xdr:col>18</xdr:col>
      <xdr:colOff>555812</xdr:colOff>
      <xdr:row>21</xdr:row>
      <xdr:rowOff>53788</xdr:rowOff>
    </xdr:to>
    <xdr:sp macro="" textlink="">
      <xdr:nvSpPr>
        <xdr:cNvPr id="60" name="Retângulo: Cantos Arredondados 59">
          <a:extLst>
            <a:ext uri="{FF2B5EF4-FFF2-40B4-BE49-F238E27FC236}">
              <a16:creationId xmlns:a16="http://schemas.microsoft.com/office/drawing/2014/main" id="{66222F7F-AFFC-2DCF-0219-364BBEBC5446}"/>
            </a:ext>
          </a:extLst>
        </xdr:cNvPr>
        <xdr:cNvSpPr/>
      </xdr:nvSpPr>
      <xdr:spPr>
        <a:xfrm>
          <a:off x="8910918" y="3478305"/>
          <a:ext cx="2617694" cy="340659"/>
        </a:xfrm>
        <a:prstGeom prst="roundRect">
          <a:avLst>
            <a:gd name="adj" fmla="val 50000"/>
          </a:avLst>
        </a:prstGeom>
        <a:solidFill>
          <a:schemeClr val="accent1">
            <a:alpha val="26000"/>
          </a:schemeClr>
        </a:solidFill>
        <a:ln>
          <a:solidFill>
            <a:srgbClr val="E85A7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376518</xdr:colOff>
      <xdr:row>33</xdr:row>
      <xdr:rowOff>143435</xdr:rowOff>
    </xdr:from>
    <xdr:to>
      <xdr:col>18</xdr:col>
      <xdr:colOff>555812</xdr:colOff>
      <xdr:row>35</xdr:row>
      <xdr:rowOff>125506</xdr:rowOff>
    </xdr:to>
    <xdr:sp macro="" textlink="">
      <xdr:nvSpPr>
        <xdr:cNvPr id="61" name="Retângulo: Cantos Arredondados 60">
          <a:extLst>
            <a:ext uri="{FF2B5EF4-FFF2-40B4-BE49-F238E27FC236}">
              <a16:creationId xmlns:a16="http://schemas.microsoft.com/office/drawing/2014/main" id="{6F19427A-36C4-E822-E0DE-51DB21E9E986}"/>
            </a:ext>
          </a:extLst>
        </xdr:cNvPr>
        <xdr:cNvSpPr/>
      </xdr:nvSpPr>
      <xdr:spPr>
        <a:xfrm>
          <a:off x="8910918" y="6060141"/>
          <a:ext cx="2617694" cy="340659"/>
        </a:xfrm>
        <a:prstGeom prst="roundRect">
          <a:avLst>
            <a:gd name="adj" fmla="val 50000"/>
          </a:avLst>
        </a:prstGeom>
        <a:solidFill>
          <a:schemeClr val="accent2">
            <a:alpha val="26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179295</xdr:colOff>
      <xdr:row>19</xdr:row>
      <xdr:rowOff>134471</xdr:rowOff>
    </xdr:from>
    <xdr:to>
      <xdr:col>23</xdr:col>
      <xdr:colOff>376519</xdr:colOff>
      <xdr:row>35</xdr:row>
      <xdr:rowOff>8965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2" name="Gráfico 61">
              <a:extLst>
                <a:ext uri="{FF2B5EF4-FFF2-40B4-BE49-F238E27FC236}">
                  <a16:creationId xmlns:a16="http://schemas.microsoft.com/office/drawing/2014/main" id="{F09914E0-68A4-4EE3-8793-B92B4D1441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61695" y="3609191"/>
              <a:ext cx="2635624" cy="28005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21</xdr:col>
      <xdr:colOff>204829</xdr:colOff>
      <xdr:row>21</xdr:row>
      <xdr:rowOff>134472</xdr:rowOff>
    </xdr:from>
    <xdr:to>
      <xdr:col>22</xdr:col>
      <xdr:colOff>322728</xdr:colOff>
      <xdr:row>23</xdr:row>
      <xdr:rowOff>158818</xdr:rowOff>
    </xdr:to>
    <xdr:sp macro="" textlink="Análise!W12">
      <xdr:nvSpPr>
        <xdr:cNvPr id="63" name="CaixaDeTexto 62">
          <a:extLst>
            <a:ext uri="{FF2B5EF4-FFF2-40B4-BE49-F238E27FC236}">
              <a16:creationId xmlns:a16="http://schemas.microsoft.com/office/drawing/2014/main" id="{9CBFE2C0-6FF8-E8F3-E1BD-2F81A8679D50}"/>
            </a:ext>
          </a:extLst>
        </xdr:cNvPr>
        <xdr:cNvSpPr txBox="1"/>
      </xdr:nvSpPr>
      <xdr:spPr>
        <a:xfrm>
          <a:off x="13006429" y="3899648"/>
          <a:ext cx="727499" cy="382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2162EC9C-16A1-4677-B3AD-9CE00F853216}" type="TxLink">
            <a:rPr lang="en-US" sz="2400" b="1" i="0" u="none" strike="noStrike">
              <a:solidFill>
                <a:srgbClr val="000000"/>
              </a:solidFill>
              <a:latin typeface="Aptos Narrow"/>
            </a:rPr>
            <a:pPr algn="l"/>
            <a:t>27%</a:t>
          </a:fld>
          <a:endParaRPr lang="en-US" sz="4400" b="1" i="0" u="none" strike="noStrike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21</xdr:col>
      <xdr:colOff>473770</xdr:colOff>
      <xdr:row>25</xdr:row>
      <xdr:rowOff>26895</xdr:rowOff>
    </xdr:from>
    <xdr:to>
      <xdr:col>22</xdr:col>
      <xdr:colOff>591669</xdr:colOff>
      <xdr:row>27</xdr:row>
      <xdr:rowOff>51242</xdr:rowOff>
    </xdr:to>
    <xdr:sp macro="" textlink="Análise!W13">
      <xdr:nvSpPr>
        <xdr:cNvPr id="64" name="CaixaDeTexto 63">
          <a:extLst>
            <a:ext uri="{FF2B5EF4-FFF2-40B4-BE49-F238E27FC236}">
              <a16:creationId xmlns:a16="http://schemas.microsoft.com/office/drawing/2014/main" id="{68535853-E47A-5119-105E-8C35BAE2A3BD}"/>
            </a:ext>
          </a:extLst>
        </xdr:cNvPr>
        <xdr:cNvSpPr txBox="1"/>
      </xdr:nvSpPr>
      <xdr:spPr>
        <a:xfrm>
          <a:off x="13275370" y="4509248"/>
          <a:ext cx="727499" cy="382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06B0A24C-0776-4837-8C68-463514E8C9CE}" type="TxLink">
            <a:rPr lang="en-US" sz="2000" b="1" i="0" u="none" strike="noStrike">
              <a:solidFill>
                <a:srgbClr val="000000"/>
              </a:solidFill>
              <a:latin typeface="Aptos Narrow"/>
            </a:rPr>
            <a:pPr algn="l"/>
            <a:t>22%</a:t>
          </a:fld>
          <a:endParaRPr lang="en-US" sz="3600" b="1" i="0" u="none" strike="noStrike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20</xdr:col>
      <xdr:colOff>419981</xdr:colOff>
      <xdr:row>28</xdr:row>
      <xdr:rowOff>53789</xdr:rowOff>
    </xdr:from>
    <xdr:to>
      <xdr:col>22</xdr:col>
      <xdr:colOff>35859</xdr:colOff>
      <xdr:row>30</xdr:row>
      <xdr:rowOff>78135</xdr:rowOff>
    </xdr:to>
    <xdr:sp macro="" textlink="Análise!W11">
      <xdr:nvSpPr>
        <xdr:cNvPr id="65" name="CaixaDeTexto 64">
          <a:extLst>
            <a:ext uri="{FF2B5EF4-FFF2-40B4-BE49-F238E27FC236}">
              <a16:creationId xmlns:a16="http://schemas.microsoft.com/office/drawing/2014/main" id="{AD7C867A-93A9-52AA-F802-CF2A90124CC3}"/>
            </a:ext>
          </a:extLst>
        </xdr:cNvPr>
        <xdr:cNvSpPr txBox="1"/>
      </xdr:nvSpPr>
      <xdr:spPr>
        <a:xfrm>
          <a:off x="12611981" y="5074024"/>
          <a:ext cx="835078" cy="3829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1EE172D6-7385-4620-89B2-2122179AF431}" type="TxLink">
            <a:rPr lang="en-US" sz="2800" b="1" i="0" u="none" strike="noStrike">
              <a:solidFill>
                <a:srgbClr val="000000"/>
              </a:solidFill>
              <a:latin typeface="Aptos Narrow"/>
            </a:rPr>
            <a:pPr algn="l"/>
            <a:t>51%</a:t>
          </a:fld>
          <a:endParaRPr lang="en-US" sz="6000" b="1" i="0" u="none" strike="noStrike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7</xdr:col>
      <xdr:colOff>475129</xdr:colOff>
      <xdr:row>9</xdr:row>
      <xdr:rowOff>80683</xdr:rowOff>
    </xdr:from>
    <xdr:to>
      <xdr:col>9</xdr:col>
      <xdr:colOff>555812</xdr:colOff>
      <xdr:row>11</xdr:row>
      <xdr:rowOff>170331</xdr:rowOff>
    </xdr:to>
    <xdr:sp macro="" textlink="Análise!AG6">
      <xdr:nvSpPr>
        <xdr:cNvPr id="67" name="CaixaDeTexto 66">
          <a:extLst>
            <a:ext uri="{FF2B5EF4-FFF2-40B4-BE49-F238E27FC236}">
              <a16:creationId xmlns:a16="http://schemas.microsoft.com/office/drawing/2014/main" id="{CEF185D3-BD7E-624D-0267-579B50F54ED4}"/>
            </a:ext>
          </a:extLst>
        </xdr:cNvPr>
        <xdr:cNvSpPr txBox="1"/>
      </xdr:nvSpPr>
      <xdr:spPr>
        <a:xfrm>
          <a:off x="4742329" y="1694330"/>
          <a:ext cx="1299883" cy="4482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ECA6838-D41A-496D-8FB9-62D9F90A1155}" type="TxLink">
            <a:rPr lang="en-US" sz="2400" b="1" i="0" u="none" strike="noStrike">
              <a:solidFill>
                <a:schemeClr val="bg1"/>
              </a:solidFill>
              <a:latin typeface="Aptos Narrow"/>
            </a:rPr>
            <a:pPr algn="ctr"/>
            <a:t>R$ 26 k</a:t>
          </a:fld>
          <a:endParaRPr lang="pt-BR" sz="66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116541</xdr:colOff>
      <xdr:row>9</xdr:row>
      <xdr:rowOff>62753</xdr:rowOff>
    </xdr:from>
    <xdr:to>
      <xdr:col>13</xdr:col>
      <xdr:colOff>197224</xdr:colOff>
      <xdr:row>11</xdr:row>
      <xdr:rowOff>152401</xdr:rowOff>
    </xdr:to>
    <xdr:sp macro="" textlink="Análise!AH6">
      <xdr:nvSpPr>
        <xdr:cNvPr id="68" name="CaixaDeTexto 67">
          <a:extLst>
            <a:ext uri="{FF2B5EF4-FFF2-40B4-BE49-F238E27FC236}">
              <a16:creationId xmlns:a16="http://schemas.microsoft.com/office/drawing/2014/main" id="{566F7F5D-576A-0FA4-48A0-B766E7CA1BBF}"/>
            </a:ext>
          </a:extLst>
        </xdr:cNvPr>
        <xdr:cNvSpPr txBox="1"/>
      </xdr:nvSpPr>
      <xdr:spPr>
        <a:xfrm>
          <a:off x="6822141" y="1676400"/>
          <a:ext cx="1299883" cy="4482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EA05D4A-DAAB-469F-A159-C19486B29706}" type="TxLink">
            <a:rPr lang="en-US" sz="2400" b="1" i="0" u="none" strike="noStrike">
              <a:solidFill>
                <a:schemeClr val="bg1"/>
              </a:solidFill>
              <a:latin typeface="Aptos Narrow"/>
            </a:rPr>
            <a:pPr algn="ctr"/>
            <a:t>R$ 318 k</a:t>
          </a:fld>
          <a:endParaRPr lang="pt-BR" sz="66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197223</xdr:colOff>
      <xdr:row>27</xdr:row>
      <xdr:rowOff>111611</xdr:rowOff>
    </xdr:from>
    <xdr:to>
      <xdr:col>3</xdr:col>
      <xdr:colOff>457200</xdr:colOff>
      <xdr:row>34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9" name="Região">
              <a:extLst>
                <a:ext uri="{FF2B5EF4-FFF2-40B4-BE49-F238E27FC236}">
                  <a16:creationId xmlns:a16="http://schemas.microsoft.com/office/drawing/2014/main" id="{FD10EE87-34EF-4D6E-BB04-033E3C1DBFC3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223" y="5108154"/>
              <a:ext cx="2088777" cy="13361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oneCell">
    <xdr:from>
      <xdr:col>0</xdr:col>
      <xdr:colOff>202154</xdr:colOff>
      <xdr:row>8</xdr:row>
      <xdr:rowOff>149412</xdr:rowOff>
    </xdr:from>
    <xdr:to>
      <xdr:col>3</xdr:col>
      <xdr:colOff>484094</xdr:colOff>
      <xdr:row>17</xdr:row>
      <xdr:rowOff>32871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3" name="Assinatura">
              <a:extLst>
                <a:ext uri="{FF2B5EF4-FFF2-40B4-BE49-F238E27FC236}">
                  <a16:creationId xmlns:a16="http://schemas.microsoft.com/office/drawing/2014/main" id="{308E968C-F355-4867-ADB0-92DD4B8CE2EC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ssinatu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154" y="1629869"/>
              <a:ext cx="2110740" cy="15489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oneCell">
    <xdr:from>
      <xdr:col>0</xdr:col>
      <xdr:colOff>198119</xdr:colOff>
      <xdr:row>18</xdr:row>
      <xdr:rowOff>29883</xdr:rowOff>
    </xdr:from>
    <xdr:to>
      <xdr:col>3</xdr:col>
      <xdr:colOff>475129</xdr:colOff>
      <xdr:row>26</xdr:row>
      <xdr:rowOff>114598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4" name="Faixa-Etária">
              <a:extLst>
                <a:ext uri="{FF2B5EF4-FFF2-40B4-BE49-F238E27FC236}">
                  <a16:creationId xmlns:a16="http://schemas.microsoft.com/office/drawing/2014/main" id="{280E0EC8-67CF-4432-9224-7EA9D1C3600B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aixa-Etári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8119" y="3360912"/>
              <a:ext cx="2105810" cy="15651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oneCell">
    <xdr:from>
      <xdr:col>0</xdr:col>
      <xdr:colOff>179294</xdr:colOff>
      <xdr:row>4</xdr:row>
      <xdr:rowOff>44824</xdr:rowOff>
    </xdr:from>
    <xdr:to>
      <xdr:col>3</xdr:col>
      <xdr:colOff>502024</xdr:colOff>
      <xdr:row>7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5" name="Gênero">
              <a:extLst>
                <a:ext uri="{FF2B5EF4-FFF2-40B4-BE49-F238E27FC236}">
                  <a16:creationId xmlns:a16="http://schemas.microsoft.com/office/drawing/2014/main" id="{0367CB6A-3128-434E-AE77-D587CB190AD3}"/>
                </a:ext>
              </a:extLst>
            </xdr:cNvPr>
            <xdr:cNvGraphicFramePr>
              <a:graphicFrameLocks noMove="1" noResize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êner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294" y="785053"/>
              <a:ext cx="2151530" cy="6627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e" refreshedDate="45994.460207060183" createdVersion="8" refreshedVersion="8" minRefreshableVersion="3" recordCount="802" xr:uid="{D98EAAB4-9E8B-4010-BDEB-D5C5BA537A98}">
  <cacheSource type="worksheet">
    <worksheetSource name="TabelaBase"/>
  </cacheSource>
  <cacheFields count="12">
    <cacheField name="CPF" numFmtId="164">
      <sharedItems containsSemiMixedTypes="0" containsString="0" containsNumber="1" containsInteger="1" minValue="22251128276" maxValue="99687496489"/>
    </cacheField>
    <cacheField name="Nome" numFmtId="0">
      <sharedItems/>
    </cacheField>
    <cacheField name="Gênero" numFmtId="0">
      <sharedItems count="2">
        <s v="Masculino"/>
        <s v="Feminino"/>
      </sharedItems>
    </cacheField>
    <cacheField name="Nivel de Estudos" numFmtId="0">
      <sharedItems/>
    </cacheField>
    <cacheField name="Interesse/Hobbie" numFmtId="0">
      <sharedItems/>
    </cacheField>
    <cacheField name="Região" numFmtId="0">
      <sharedItems count="3">
        <s v="Rio Grande do Sul"/>
        <s v="Paraná"/>
        <s v="Santa Catarina"/>
      </sharedItems>
    </cacheField>
    <cacheField name="Data Nascimento" numFmtId="14">
      <sharedItems containsSemiMixedTypes="0" containsNonDate="0" containsDate="1" containsString="0" minDate="1955-01-01T00:00:00" maxDate="1999-12-17T00:00:00"/>
    </cacheField>
    <cacheField name="Avaliação" numFmtId="14">
      <sharedItems count="8">
        <s v="Produto Excelente"/>
        <s v="Suporte Ruim"/>
        <s v="Embalagem Danificada"/>
        <s v="Atendimento Bom"/>
        <s v="Faltando Item"/>
        <s v="Atraso na Entrega"/>
        <s v="Produto com defeito"/>
        <s v="Boa qualidade"/>
      </sharedItems>
    </cacheField>
    <cacheField name="Assinatura" numFmtId="0">
      <sharedItems count="4">
        <s v="Safe Watch"/>
        <s v="Deluxe Box"/>
        <s v="Magic Box"/>
        <s v="Premium X"/>
      </sharedItems>
    </cacheField>
    <cacheField name="Mesalidades" numFmtId="165">
      <sharedItems containsSemiMixedTypes="0" containsString="0" containsNumber="1" minValue="9.9" maxValue="79.900000000000006"/>
    </cacheField>
    <cacheField name="Idade" numFmtId="0">
      <sharedItems containsSemiMixedTypes="0" containsString="0" containsNumber="1" containsInteger="1" minValue="25" maxValue="70"/>
    </cacheField>
    <cacheField name="Faixa-Etária" numFmtId="0">
      <sharedItems count="4">
        <s v="54-70"/>
        <s v="24-34"/>
        <s v="44 - 54"/>
        <s v="35 - 44"/>
      </sharedItems>
    </cacheField>
  </cacheFields>
  <extLst>
    <ext xmlns:x14="http://schemas.microsoft.com/office/spreadsheetml/2009/9/main" uri="{725AE2AE-9491-48be-B2B4-4EB974FC3084}">
      <x14:pivotCacheDefinition pivotCacheId="18797320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2">
  <r>
    <n v="22251128276"/>
    <s v="William Fernandes"/>
    <x v="0"/>
    <s v="Ensino Médio"/>
    <s v="Esportes"/>
    <x v="0"/>
    <d v="1957-10-25T00:00:00"/>
    <x v="0"/>
    <x v="0"/>
    <n v="29.9"/>
    <n v="68"/>
    <x v="0"/>
  </r>
  <r>
    <n v="22261045848"/>
    <s v="Emma Johnson"/>
    <x v="1"/>
    <s v="Superior"/>
    <s v="Agronegócio"/>
    <x v="0"/>
    <d v="1991-05-18T00:00:00"/>
    <x v="0"/>
    <x v="1"/>
    <n v="35.9"/>
    <n v="34"/>
    <x v="1"/>
  </r>
  <r>
    <n v="22319593464"/>
    <s v="Ava Davis"/>
    <x v="1"/>
    <s v="Ensino Médio"/>
    <s v="Economia"/>
    <x v="1"/>
    <d v="1962-06-05T00:00:00"/>
    <x v="0"/>
    <x v="1"/>
    <n v="35.9"/>
    <n v="63"/>
    <x v="0"/>
  </r>
  <r>
    <n v="22502656506"/>
    <s v="Robert Watson"/>
    <x v="0"/>
    <s v="Ensino Médio"/>
    <s v="Finanças"/>
    <x v="0"/>
    <d v="1993-03-07T00:00:00"/>
    <x v="0"/>
    <x v="0"/>
    <n v="29.9"/>
    <n v="32"/>
    <x v="1"/>
  </r>
  <r>
    <n v="22545488634"/>
    <s v="Sandra Martins"/>
    <x v="1"/>
    <s v="Ensino Médio"/>
    <s v="Esportes"/>
    <x v="0"/>
    <d v="1961-08-31T00:00:00"/>
    <x v="0"/>
    <x v="2"/>
    <n v="9.9"/>
    <n v="64"/>
    <x v="0"/>
  </r>
  <r>
    <n v="22730255729"/>
    <s v="Abigail Clark"/>
    <x v="0"/>
    <s v="Ensino Médio"/>
    <s v="Agronegócio"/>
    <x v="0"/>
    <d v="1956-06-27T00:00:00"/>
    <x v="0"/>
    <x v="2"/>
    <n v="9.9"/>
    <n v="69"/>
    <x v="0"/>
  </r>
  <r>
    <n v="22915442664"/>
    <s v="Maria Elena Herrera"/>
    <x v="1"/>
    <s v="Superior"/>
    <s v="Negócios"/>
    <x v="0"/>
    <d v="1971-09-14T00:00:00"/>
    <x v="0"/>
    <x v="2"/>
    <n v="9.9"/>
    <n v="54"/>
    <x v="0"/>
  </r>
  <r>
    <n v="23003948004"/>
    <s v="Jose Luis Cardenas"/>
    <x v="0"/>
    <s v="Superior"/>
    <s v="Agronegócio"/>
    <x v="0"/>
    <d v="1995-06-29T00:00:00"/>
    <x v="0"/>
    <x v="1"/>
    <n v="35.9"/>
    <n v="30"/>
    <x v="1"/>
  </r>
  <r>
    <n v="23076469898"/>
    <s v="Giovanna Oliveira"/>
    <x v="1"/>
    <s v="Mestrado"/>
    <s v="Finanças"/>
    <x v="0"/>
    <d v="1972-08-23T00:00:00"/>
    <x v="0"/>
    <x v="0"/>
    <n v="29.9"/>
    <n v="53"/>
    <x v="2"/>
  </r>
  <r>
    <n v="23247585094"/>
    <s v="Rafael Costa"/>
    <x v="0"/>
    <s v="Superior"/>
    <s v="Esportes"/>
    <x v="2"/>
    <d v="1987-02-01T00:00:00"/>
    <x v="1"/>
    <x v="2"/>
    <n v="9.9"/>
    <n v="38"/>
    <x v="3"/>
  </r>
  <r>
    <n v="23305930384"/>
    <s v="Diana Lopez"/>
    <x v="1"/>
    <s v="Ensino Médio"/>
    <s v="Negócios"/>
    <x v="1"/>
    <d v="1959-11-30T00:00:00"/>
    <x v="2"/>
    <x v="3"/>
    <n v="79.900000000000006"/>
    <n v="66"/>
    <x v="0"/>
  </r>
  <r>
    <n v="23327518189"/>
    <s v="Michael Hall"/>
    <x v="0"/>
    <s v="Ensino Médio"/>
    <s v="Economia"/>
    <x v="1"/>
    <d v="1958-06-30T00:00:00"/>
    <x v="3"/>
    <x v="0"/>
    <n v="29.9"/>
    <n v="67"/>
    <x v="0"/>
  </r>
  <r>
    <n v="23347171291"/>
    <s v="Luis Reyes"/>
    <x v="0"/>
    <s v="Mestrado"/>
    <s v="Finanças"/>
    <x v="0"/>
    <d v="1978-06-04T00:00:00"/>
    <x v="3"/>
    <x v="2"/>
    <n v="9.9"/>
    <n v="47"/>
    <x v="2"/>
  </r>
  <r>
    <n v="23396488132"/>
    <s v="Rafael Ferreira Lima"/>
    <x v="0"/>
    <s v="Ensino Médio"/>
    <s v="Economia"/>
    <x v="0"/>
    <d v="1994-02-25T00:00:00"/>
    <x v="3"/>
    <x v="1"/>
    <n v="35.9"/>
    <n v="31"/>
    <x v="1"/>
  </r>
  <r>
    <n v="23474418720"/>
    <s v="Daniel Pereira"/>
    <x v="0"/>
    <s v="Superior"/>
    <s v="Esportes"/>
    <x v="0"/>
    <d v="1964-06-12T00:00:00"/>
    <x v="3"/>
    <x v="0"/>
    <n v="29.9"/>
    <n v="61"/>
    <x v="0"/>
  </r>
  <r>
    <n v="23495363597"/>
    <s v="Eliza Hayes"/>
    <x v="1"/>
    <s v="Ensino Médio"/>
    <s v="Esportes"/>
    <x v="0"/>
    <d v="1972-11-07T00:00:00"/>
    <x v="3"/>
    <x v="2"/>
    <n v="9.9"/>
    <n v="53"/>
    <x v="2"/>
  </r>
  <r>
    <n v="23710915067"/>
    <s v="Ruby Perry"/>
    <x v="0"/>
    <s v="Pós-Graduação"/>
    <s v="Esportes"/>
    <x v="0"/>
    <d v="1963-11-26T00:00:00"/>
    <x v="3"/>
    <x v="0"/>
    <n v="29.9"/>
    <n v="62"/>
    <x v="0"/>
  </r>
  <r>
    <n v="23744776016"/>
    <s v="Renata Fernandes"/>
    <x v="1"/>
    <s v="Superior"/>
    <s v="Agronegócio"/>
    <x v="2"/>
    <d v="1980-11-30T00:00:00"/>
    <x v="4"/>
    <x v="2"/>
    <n v="9.9"/>
    <n v="45"/>
    <x v="2"/>
  </r>
  <r>
    <n v="23811464512"/>
    <s v="Sofia Velez"/>
    <x v="1"/>
    <s v="Doutorado"/>
    <s v="Finanças"/>
    <x v="0"/>
    <d v="1979-08-30T00:00:00"/>
    <x v="0"/>
    <x v="0"/>
    <n v="29.9"/>
    <n v="46"/>
    <x v="2"/>
  </r>
  <r>
    <n v="23812290184"/>
    <s v="Caleb Reed"/>
    <x v="0"/>
    <s v="Pós-Graduação"/>
    <s v="Negócios"/>
    <x v="0"/>
    <d v="1992-07-03T00:00:00"/>
    <x v="0"/>
    <x v="0"/>
    <n v="29.9"/>
    <n v="33"/>
    <x v="1"/>
  </r>
  <r>
    <n v="23826850226"/>
    <s v="Juliana de Souza Oliveira"/>
    <x v="1"/>
    <s v="Superior"/>
    <s v="Negócios"/>
    <x v="1"/>
    <d v="1970-01-24T00:00:00"/>
    <x v="0"/>
    <x v="2"/>
    <n v="9.9"/>
    <n v="55"/>
    <x v="0"/>
  </r>
  <r>
    <n v="23832649809"/>
    <s v="Rita Santos"/>
    <x v="1"/>
    <s v="Ensino Médio"/>
    <s v="Política"/>
    <x v="1"/>
    <d v="1960-02-23T00:00:00"/>
    <x v="0"/>
    <x v="3"/>
    <n v="79.900000000000006"/>
    <n v="65"/>
    <x v="0"/>
  </r>
  <r>
    <n v="23901903684"/>
    <s v="Emerson Oliveira"/>
    <x v="0"/>
    <s v="Mestrado"/>
    <s v="Negócios"/>
    <x v="0"/>
    <d v="1985-03-27T00:00:00"/>
    <x v="0"/>
    <x v="1"/>
    <n v="35.9"/>
    <n v="40"/>
    <x v="3"/>
  </r>
  <r>
    <n v="23955738155"/>
    <s v="Eliana Ramirez"/>
    <x v="1"/>
    <s v="Pós-Graduação"/>
    <s v="Negócios"/>
    <x v="1"/>
    <d v="1971-04-22T00:00:00"/>
    <x v="5"/>
    <x v="0"/>
    <n v="29.9"/>
    <n v="54"/>
    <x v="0"/>
  </r>
  <r>
    <n v="23985916849"/>
    <s v="Camila Torres"/>
    <x v="1"/>
    <s v="Superior"/>
    <s v="Economia"/>
    <x v="0"/>
    <d v="1990-11-04T00:00:00"/>
    <x v="1"/>
    <x v="1"/>
    <n v="35.9"/>
    <n v="35"/>
    <x v="3"/>
  </r>
  <r>
    <n v="24132591017"/>
    <s v="Rita Silva"/>
    <x v="1"/>
    <s v="Pós-Graduação"/>
    <s v="Agronegócio"/>
    <x v="0"/>
    <d v="1978-01-14T00:00:00"/>
    <x v="6"/>
    <x v="3"/>
    <n v="79.900000000000006"/>
    <n v="47"/>
    <x v="2"/>
  </r>
  <r>
    <n v="24163969033"/>
    <s v="James Lee"/>
    <x v="0"/>
    <s v="Superior"/>
    <s v="Negócios"/>
    <x v="1"/>
    <d v="1993-11-21T00:00:00"/>
    <x v="2"/>
    <x v="2"/>
    <n v="9.9"/>
    <n v="32"/>
    <x v="1"/>
  </r>
  <r>
    <n v="24287997573"/>
    <s v="Amanda Costa"/>
    <x v="1"/>
    <s v="Superior"/>
    <s v="Negócios"/>
    <x v="0"/>
    <d v="1980-03-18T00:00:00"/>
    <x v="7"/>
    <x v="2"/>
    <n v="9.9"/>
    <n v="45"/>
    <x v="2"/>
  </r>
  <r>
    <n v="24399783131"/>
    <s v="Olivia Brown"/>
    <x v="1"/>
    <s v="Pós-Graduação"/>
    <s v="Esportes"/>
    <x v="1"/>
    <d v="1958-09-05T00:00:00"/>
    <x v="5"/>
    <x v="2"/>
    <n v="9.9"/>
    <n v="67"/>
    <x v="0"/>
  </r>
  <r>
    <n v="24476290628"/>
    <s v="Ricardo Barbosa"/>
    <x v="0"/>
    <s v="Superior"/>
    <s v="Esportes"/>
    <x v="2"/>
    <d v="1974-10-15T00:00:00"/>
    <x v="4"/>
    <x v="2"/>
    <n v="9.9"/>
    <n v="51"/>
    <x v="2"/>
  </r>
  <r>
    <n v="24501506609"/>
    <s v="Laura Ribeiro"/>
    <x v="1"/>
    <s v="Superior"/>
    <s v="Política"/>
    <x v="1"/>
    <d v="1968-03-06T00:00:00"/>
    <x v="3"/>
    <x v="3"/>
    <n v="79.900000000000006"/>
    <n v="57"/>
    <x v="0"/>
  </r>
  <r>
    <n v="24571944346"/>
    <s v="Emily Wright"/>
    <x v="1"/>
    <s v="Superior"/>
    <s v="Esportes"/>
    <x v="2"/>
    <d v="1959-04-13T00:00:00"/>
    <x v="5"/>
    <x v="2"/>
    <n v="9.9"/>
    <n v="66"/>
    <x v="0"/>
  </r>
  <r>
    <n v="24787984175"/>
    <s v="Henry Adams"/>
    <x v="0"/>
    <s v="Doutorado"/>
    <s v="Finanças"/>
    <x v="0"/>
    <d v="1995-06-17T00:00:00"/>
    <x v="4"/>
    <x v="0"/>
    <n v="29.9"/>
    <n v="30"/>
    <x v="1"/>
  </r>
  <r>
    <n v="25119128692"/>
    <s v="Chloe Coleman"/>
    <x v="1"/>
    <s v="Superior"/>
    <s v="Agronegócio"/>
    <x v="0"/>
    <d v="1983-03-09T00:00:00"/>
    <x v="3"/>
    <x v="1"/>
    <n v="35.9"/>
    <n v="42"/>
    <x v="3"/>
  </r>
  <r>
    <n v="25186825602"/>
    <s v="Lucy Brooks"/>
    <x v="0"/>
    <s v="Superior"/>
    <s v="Economia"/>
    <x v="0"/>
    <d v="1963-04-23T00:00:00"/>
    <x v="0"/>
    <x v="0"/>
    <n v="29.9"/>
    <n v="62"/>
    <x v="0"/>
  </r>
  <r>
    <n v="25259510243"/>
    <s v="Isabela Martins Pereira"/>
    <x v="1"/>
    <s v="Superior"/>
    <s v="Finanças"/>
    <x v="1"/>
    <d v="1973-03-18T00:00:00"/>
    <x v="0"/>
    <x v="2"/>
    <n v="9.9"/>
    <n v="52"/>
    <x v="2"/>
  </r>
  <r>
    <n v="25299040876"/>
    <s v="Vilma Pereira"/>
    <x v="1"/>
    <s v="Ensino Médio"/>
    <s v="Finanças"/>
    <x v="0"/>
    <d v="1960-03-27T00:00:00"/>
    <x v="0"/>
    <x v="2"/>
    <n v="9.9"/>
    <n v="65"/>
    <x v="0"/>
  </r>
  <r>
    <n v="25585315115"/>
    <s v="Autumn Brooks"/>
    <x v="0"/>
    <s v="Pós-Graduação"/>
    <s v="Economia"/>
    <x v="1"/>
    <d v="1977-08-18T00:00:00"/>
    <x v="0"/>
    <x v="2"/>
    <n v="9.9"/>
    <n v="48"/>
    <x v="2"/>
  </r>
  <r>
    <n v="25620590447"/>
    <s v="Isabela Carvalho"/>
    <x v="1"/>
    <s v="Superior"/>
    <s v="Política"/>
    <x v="1"/>
    <d v="1989-12-02T00:00:00"/>
    <x v="0"/>
    <x v="3"/>
    <n v="79.900000000000006"/>
    <n v="36"/>
    <x v="3"/>
  </r>
  <r>
    <n v="25690893853"/>
    <s v="Lily Cooper"/>
    <x v="1"/>
    <s v="Ensino Médio"/>
    <s v="Esportes"/>
    <x v="0"/>
    <d v="1962-04-22T00:00:00"/>
    <x v="0"/>
    <x v="2"/>
    <n v="9.9"/>
    <n v="63"/>
    <x v="0"/>
  </r>
  <r>
    <n v="25770108240"/>
    <s v="Bruno Santos"/>
    <x v="0"/>
    <s v="Ensino Médio"/>
    <s v="Economia"/>
    <x v="0"/>
    <d v="1984-09-12T00:00:00"/>
    <x v="0"/>
    <x v="2"/>
    <n v="9.9"/>
    <n v="41"/>
    <x v="3"/>
  </r>
  <r>
    <n v="26133183584"/>
    <s v="Ethan White"/>
    <x v="0"/>
    <s v="Mestrado"/>
    <s v="Negócios"/>
    <x v="0"/>
    <d v="1989-08-21T00:00:00"/>
    <x v="0"/>
    <x v="2"/>
    <n v="9.9"/>
    <n v="36"/>
    <x v="3"/>
  </r>
  <r>
    <n v="26552662070"/>
    <s v="Mariana Rodrigues"/>
    <x v="1"/>
    <s v="Ensino Médio"/>
    <s v="Política"/>
    <x v="0"/>
    <d v="1958-01-07T00:00:00"/>
    <x v="0"/>
    <x v="3"/>
    <n v="79.900000000000006"/>
    <n v="67"/>
    <x v="0"/>
  </r>
  <r>
    <n v="26642966334"/>
    <s v="Lucas Oliveira"/>
    <x v="0"/>
    <s v="Ensino Médio"/>
    <s v="Esportes"/>
    <x v="0"/>
    <d v="1974-04-17T00:00:00"/>
    <x v="1"/>
    <x v="2"/>
    <n v="9.9"/>
    <n v="51"/>
    <x v="2"/>
  </r>
  <r>
    <n v="26713299497"/>
    <s v="Aaron Perry"/>
    <x v="0"/>
    <s v="Mestrado"/>
    <s v="Negócios"/>
    <x v="0"/>
    <d v="1963-08-08T00:00:00"/>
    <x v="2"/>
    <x v="1"/>
    <n v="35.9"/>
    <n v="62"/>
    <x v="0"/>
  </r>
  <r>
    <n v="26748985558"/>
    <s v="José da Silva"/>
    <x v="0"/>
    <s v="Mestrado"/>
    <s v="Agronegócio"/>
    <x v="2"/>
    <d v="1961-02-10T00:00:00"/>
    <x v="3"/>
    <x v="2"/>
    <n v="9.9"/>
    <n v="64"/>
    <x v="0"/>
  </r>
  <r>
    <n v="26768816675"/>
    <s v="Mariana Oliveira"/>
    <x v="1"/>
    <s v="Superior"/>
    <s v="Negócios"/>
    <x v="1"/>
    <d v="1989-07-23T00:00:00"/>
    <x v="3"/>
    <x v="2"/>
    <n v="9.9"/>
    <n v="36"/>
    <x v="3"/>
  </r>
  <r>
    <n v="26864897176"/>
    <s v="Antonio Pacheco"/>
    <x v="0"/>
    <s v="Pós-Graduação"/>
    <s v="Finanças"/>
    <x v="0"/>
    <d v="1965-03-30T00:00:00"/>
    <x v="3"/>
    <x v="0"/>
    <n v="29.9"/>
    <n v="60"/>
    <x v="0"/>
  </r>
  <r>
    <n v="26887944990"/>
    <s v="Rosa Molina"/>
    <x v="0"/>
    <s v="Ensino Médio"/>
    <s v="Agronegócio"/>
    <x v="0"/>
    <d v="1970-11-25T00:00:00"/>
    <x v="3"/>
    <x v="1"/>
    <n v="35.9"/>
    <n v="55"/>
    <x v="0"/>
  </r>
  <r>
    <n v="27177199946"/>
    <s v="Leah Sanders"/>
    <x v="1"/>
    <s v="Superior"/>
    <s v="Economia"/>
    <x v="0"/>
    <d v="1995-05-12T00:00:00"/>
    <x v="3"/>
    <x v="1"/>
    <n v="35.9"/>
    <n v="30"/>
    <x v="1"/>
  </r>
  <r>
    <n v="27285805125"/>
    <s v="Landon Gray"/>
    <x v="1"/>
    <s v="Superior"/>
    <s v="Negócios"/>
    <x v="1"/>
    <d v="1987-03-12T00:00:00"/>
    <x v="3"/>
    <x v="0"/>
    <n v="29.9"/>
    <n v="38"/>
    <x v="3"/>
  </r>
  <r>
    <n v="27448464474"/>
    <s v="Rita Gomes"/>
    <x v="1"/>
    <s v="Ensino Médio"/>
    <s v="Negócios"/>
    <x v="1"/>
    <d v="1972-06-28T00:00:00"/>
    <x v="4"/>
    <x v="2"/>
    <n v="9.9"/>
    <n v="53"/>
    <x v="2"/>
  </r>
  <r>
    <n v="27575618320"/>
    <s v="Nora Collins"/>
    <x v="1"/>
    <s v="Superior"/>
    <s v="Esportes"/>
    <x v="0"/>
    <d v="1994-10-27T00:00:00"/>
    <x v="0"/>
    <x v="2"/>
    <n v="9.9"/>
    <n v="31"/>
    <x v="1"/>
  </r>
  <r>
    <n v="27679793781"/>
    <s v="Clara Almeida"/>
    <x v="1"/>
    <s v="Pós-Graduação"/>
    <s v="Finanças"/>
    <x v="2"/>
    <d v="1961-02-10T00:00:00"/>
    <x v="0"/>
    <x v="0"/>
    <n v="29.9"/>
    <n v="64"/>
    <x v="0"/>
  </r>
  <r>
    <n v="27696929974"/>
    <s v="Marcelo Fernandes"/>
    <x v="0"/>
    <s v="Pós-Graduação"/>
    <s v="Negócios"/>
    <x v="0"/>
    <d v="1963-07-13T00:00:00"/>
    <x v="0"/>
    <x v="2"/>
    <n v="9.9"/>
    <n v="62"/>
    <x v="0"/>
  </r>
  <r>
    <n v="27712009563"/>
    <s v="Henrique Freitas"/>
    <x v="0"/>
    <s v="Superior"/>
    <s v="Negócios"/>
    <x v="2"/>
    <d v="1966-08-10T00:00:00"/>
    <x v="0"/>
    <x v="0"/>
    <n v="29.9"/>
    <n v="59"/>
    <x v="0"/>
  </r>
  <r>
    <n v="27720063292"/>
    <s v="Laura Pineda"/>
    <x v="1"/>
    <s v="Superior"/>
    <s v="Negócios"/>
    <x v="0"/>
    <d v="1989-12-22T00:00:00"/>
    <x v="0"/>
    <x v="0"/>
    <n v="29.9"/>
    <n v="35"/>
    <x v="3"/>
  </r>
  <r>
    <n v="27733422032"/>
    <s v="Sandra Gomes"/>
    <x v="1"/>
    <s v="Superior"/>
    <s v="Finanças"/>
    <x v="1"/>
    <d v="1988-07-19T00:00:00"/>
    <x v="5"/>
    <x v="0"/>
    <n v="29.9"/>
    <n v="37"/>
    <x v="3"/>
  </r>
  <r>
    <n v="27882905440"/>
    <s v="William Allen"/>
    <x v="0"/>
    <s v="Superior"/>
    <s v="Negócios"/>
    <x v="1"/>
    <d v="1984-03-29T00:00:00"/>
    <x v="1"/>
    <x v="1"/>
    <n v="35.9"/>
    <n v="41"/>
    <x v="3"/>
  </r>
  <r>
    <n v="27972353916"/>
    <s v="José Rodrigues"/>
    <x v="0"/>
    <s v="Ensino Médio"/>
    <s v="Economia"/>
    <x v="0"/>
    <d v="1972-05-01T00:00:00"/>
    <x v="6"/>
    <x v="0"/>
    <n v="29.9"/>
    <n v="53"/>
    <x v="2"/>
  </r>
  <r>
    <n v="28013158370"/>
    <s v="Carolina Valenzuela"/>
    <x v="1"/>
    <s v="Superior"/>
    <s v="Negócios"/>
    <x v="1"/>
    <d v="1957-09-13T00:00:00"/>
    <x v="2"/>
    <x v="3"/>
    <n v="79.900000000000006"/>
    <n v="68"/>
    <x v="0"/>
  </r>
  <r>
    <n v="28054126958"/>
    <s v="Pedro Torres"/>
    <x v="0"/>
    <s v="Superior"/>
    <s v="Economia"/>
    <x v="2"/>
    <d v="1981-09-01T00:00:00"/>
    <x v="7"/>
    <x v="1"/>
    <n v="35.9"/>
    <n v="44"/>
    <x v="2"/>
  </r>
  <r>
    <n v="28153849933"/>
    <s v="Daniel Baker"/>
    <x v="0"/>
    <s v="Pós-Graduação"/>
    <s v="Negócios"/>
    <x v="2"/>
    <d v="1974-10-13T00:00:00"/>
    <x v="5"/>
    <x v="3"/>
    <n v="79.900000000000006"/>
    <n v="51"/>
    <x v="2"/>
  </r>
  <r>
    <n v="28166551614"/>
    <s v="Renata Rodrigues"/>
    <x v="1"/>
    <s v="Pós-Graduação"/>
    <s v="Política"/>
    <x v="2"/>
    <d v="1983-12-06T00:00:00"/>
    <x v="4"/>
    <x v="3"/>
    <n v="79.900000000000006"/>
    <n v="42"/>
    <x v="3"/>
  </r>
  <r>
    <n v="28200818797"/>
    <s v="Amelia Garcia"/>
    <x v="1"/>
    <s v="Ensino Médio"/>
    <s v="Esportes"/>
    <x v="2"/>
    <d v="1979-03-08T00:00:00"/>
    <x v="3"/>
    <x v="0"/>
    <n v="29.9"/>
    <n v="46"/>
    <x v="2"/>
  </r>
  <r>
    <n v="28435465592"/>
    <s v="Maria das Graças Silva"/>
    <x v="1"/>
    <s v="Ensino Médio"/>
    <s v="Finanças"/>
    <x v="0"/>
    <d v="1993-06-12T00:00:00"/>
    <x v="5"/>
    <x v="0"/>
    <n v="29.9"/>
    <n v="32"/>
    <x v="1"/>
  </r>
  <r>
    <n v="28452088771"/>
    <s v="Zoey Ramirez"/>
    <x v="0"/>
    <s v="Ensino Médio"/>
    <s v="Economia"/>
    <x v="0"/>
    <d v="1983-07-04T00:00:00"/>
    <x v="4"/>
    <x v="2"/>
    <n v="9.9"/>
    <n v="42"/>
    <x v="3"/>
  </r>
  <r>
    <n v="28472708104"/>
    <s v="Grace Hill"/>
    <x v="1"/>
    <s v="Superior"/>
    <s v="Economia"/>
    <x v="0"/>
    <d v="1980-01-21T00:00:00"/>
    <x v="3"/>
    <x v="1"/>
    <n v="35.9"/>
    <n v="45"/>
    <x v="2"/>
  </r>
  <r>
    <n v="28577291217"/>
    <s v="Benjamin Moore"/>
    <x v="0"/>
    <s v="Ensino Médio"/>
    <s v="Negócios"/>
    <x v="0"/>
    <d v="1983-04-17T00:00:00"/>
    <x v="0"/>
    <x v="0"/>
    <n v="29.9"/>
    <n v="42"/>
    <x v="3"/>
  </r>
  <r>
    <n v="28722728237"/>
    <s v="Estefania Velasco"/>
    <x v="1"/>
    <s v="Pós-Graduação"/>
    <s v="Política"/>
    <x v="2"/>
    <d v="1989-03-21T00:00:00"/>
    <x v="0"/>
    <x v="3"/>
    <n v="79.900000000000006"/>
    <n v="36"/>
    <x v="3"/>
  </r>
  <r>
    <n v="28746452670"/>
    <s v="Rafael Almeida"/>
    <x v="0"/>
    <s v="Pós-Graduação"/>
    <s v="Negócios"/>
    <x v="2"/>
    <d v="1993-08-13T00:00:00"/>
    <x v="0"/>
    <x v="3"/>
    <n v="79.900000000000006"/>
    <n v="32"/>
    <x v="1"/>
  </r>
  <r>
    <n v="28755892068"/>
    <s v="Isabella Taylor"/>
    <x v="1"/>
    <s v="Superior"/>
    <s v="Economia"/>
    <x v="0"/>
    <d v="1958-02-07T00:00:00"/>
    <x v="0"/>
    <x v="2"/>
    <n v="9.9"/>
    <n v="67"/>
    <x v="0"/>
  </r>
  <r>
    <n v="28940705644"/>
    <s v="André Lima"/>
    <x v="0"/>
    <s v="Ensino Médio"/>
    <s v="Economia"/>
    <x v="0"/>
    <d v="1969-11-20T00:00:00"/>
    <x v="0"/>
    <x v="1"/>
    <n v="35.9"/>
    <n v="56"/>
    <x v="0"/>
  </r>
  <r>
    <n v="29031986542"/>
    <s v="Mariana Fernandes"/>
    <x v="1"/>
    <s v="Ensino Médio"/>
    <s v="Agronegócio"/>
    <x v="0"/>
    <d v="1957-07-25T00:00:00"/>
    <x v="0"/>
    <x v="2"/>
    <n v="9.9"/>
    <n v="68"/>
    <x v="0"/>
  </r>
  <r>
    <n v="29058531849"/>
    <s v="Harper Reed"/>
    <x v="0"/>
    <s v="Pós-Graduação"/>
    <s v="Economia"/>
    <x v="1"/>
    <d v="1964-08-10T00:00:00"/>
    <x v="0"/>
    <x v="1"/>
    <n v="35.9"/>
    <n v="61"/>
    <x v="0"/>
  </r>
  <r>
    <n v="29062765488"/>
    <s v="Sandra Fernandes"/>
    <x v="1"/>
    <s v="Superior"/>
    <s v="Agronegócio"/>
    <x v="2"/>
    <d v="1957-07-27T00:00:00"/>
    <x v="0"/>
    <x v="1"/>
    <n v="35.9"/>
    <n v="68"/>
    <x v="0"/>
  </r>
  <r>
    <n v="29127263778"/>
    <s v="José Costa"/>
    <x v="0"/>
    <s v="Superior"/>
    <s v="Agronegócio"/>
    <x v="0"/>
    <d v="1980-01-24T00:00:00"/>
    <x v="0"/>
    <x v="1"/>
    <n v="35.9"/>
    <n v="45"/>
    <x v="2"/>
  </r>
  <r>
    <n v="29151032854"/>
    <s v="Bruno Silva"/>
    <x v="0"/>
    <s v="Superior"/>
    <s v="Negócios"/>
    <x v="0"/>
    <d v="1963-09-25T00:00:00"/>
    <x v="1"/>
    <x v="2"/>
    <n v="9.9"/>
    <n v="62"/>
    <x v="0"/>
  </r>
  <r>
    <n v="29200736829"/>
    <s v="Pedro Rodrigues Martins"/>
    <x v="0"/>
    <s v="Pós-Graduação"/>
    <s v="Esportes"/>
    <x v="0"/>
    <d v="1967-06-05T00:00:00"/>
    <x v="2"/>
    <x v="0"/>
    <n v="29.9"/>
    <n v="58"/>
    <x v="0"/>
  </r>
  <r>
    <n v="29210849513"/>
    <s v="Eduardo Medina"/>
    <x v="0"/>
    <s v="Pós-Graduação"/>
    <s v="Economia"/>
    <x v="1"/>
    <d v="1962-02-27T00:00:00"/>
    <x v="3"/>
    <x v="1"/>
    <n v="35.9"/>
    <n v="63"/>
    <x v="0"/>
  </r>
  <r>
    <n v="29324777441"/>
    <s v="Bernardo Rodrigues"/>
    <x v="0"/>
    <s v="Superior"/>
    <s v="Economia"/>
    <x v="2"/>
    <d v="1968-06-23T00:00:00"/>
    <x v="3"/>
    <x v="2"/>
    <n v="9.9"/>
    <n v="57"/>
    <x v="0"/>
  </r>
  <r>
    <n v="29416954094"/>
    <s v="Adrian Brooks"/>
    <x v="0"/>
    <s v="Ensino Médio"/>
    <s v="Negócios"/>
    <x v="0"/>
    <d v="1981-10-12T00:00:00"/>
    <x v="3"/>
    <x v="3"/>
    <n v="79.900000000000006"/>
    <n v="44"/>
    <x v="2"/>
  </r>
  <r>
    <n v="29550625936"/>
    <s v="Samantha Price"/>
    <x v="1"/>
    <s v="Ensino Médio"/>
    <s v="Negócios"/>
    <x v="0"/>
    <d v="1979-10-27T00:00:00"/>
    <x v="3"/>
    <x v="0"/>
    <n v="29.9"/>
    <n v="46"/>
    <x v="2"/>
  </r>
  <r>
    <n v="29608724794"/>
    <s v="Pedro Rodrigues"/>
    <x v="0"/>
    <s v="Ensino Médio"/>
    <s v="Economia"/>
    <x v="0"/>
    <d v="1982-03-22T00:00:00"/>
    <x v="3"/>
    <x v="2"/>
    <n v="9.9"/>
    <n v="43"/>
    <x v="3"/>
  </r>
  <r>
    <n v="29617727732"/>
    <s v="Amanda Souza"/>
    <x v="1"/>
    <s v="Superior"/>
    <s v="Economia"/>
    <x v="1"/>
    <d v="1987-09-11T00:00:00"/>
    <x v="3"/>
    <x v="0"/>
    <n v="29.9"/>
    <n v="38"/>
    <x v="3"/>
  </r>
  <r>
    <n v="29665927499"/>
    <s v="Ana Pereira"/>
    <x v="1"/>
    <s v="Pós-Graduação"/>
    <s v="Finanças"/>
    <x v="0"/>
    <d v="1970-10-31T00:00:00"/>
    <x v="4"/>
    <x v="0"/>
    <n v="29.9"/>
    <n v="55"/>
    <x v="0"/>
  </r>
  <r>
    <n v="29773455762"/>
    <s v="Christopher Ross"/>
    <x v="0"/>
    <s v="Superior"/>
    <s v="Finanças"/>
    <x v="1"/>
    <d v="1982-05-12T00:00:00"/>
    <x v="0"/>
    <x v="0"/>
    <n v="29.9"/>
    <n v="43"/>
    <x v="3"/>
  </r>
  <r>
    <n v="29806175798"/>
    <s v="Fabiana Oliveira"/>
    <x v="1"/>
    <s v="Ensino Médio"/>
    <s v="Negócios"/>
    <x v="0"/>
    <d v="1974-03-08T00:00:00"/>
    <x v="0"/>
    <x v="3"/>
    <n v="79.900000000000006"/>
    <n v="51"/>
    <x v="2"/>
  </r>
  <r>
    <n v="29958942950"/>
    <s v="Naomi Carter"/>
    <x v="1"/>
    <s v="Superior"/>
    <s v="Economia"/>
    <x v="0"/>
    <d v="1986-01-24T00:00:00"/>
    <x v="0"/>
    <x v="2"/>
    <n v="9.9"/>
    <n v="39"/>
    <x v="3"/>
  </r>
  <r>
    <n v="29997693161"/>
    <s v="José Pereira"/>
    <x v="0"/>
    <s v="Superior"/>
    <s v="Economia"/>
    <x v="2"/>
    <d v="1978-10-15T00:00:00"/>
    <x v="0"/>
    <x v="2"/>
    <n v="9.9"/>
    <n v="47"/>
    <x v="2"/>
  </r>
  <r>
    <n v="30056943664"/>
    <s v="Francisco Chavez"/>
    <x v="0"/>
    <s v="Superior"/>
    <s v="Economia"/>
    <x v="0"/>
    <d v="1958-04-06T00:00:00"/>
    <x v="0"/>
    <x v="1"/>
    <n v="35.9"/>
    <n v="67"/>
    <x v="0"/>
  </r>
  <r>
    <n v="30135605541"/>
    <s v="Mason Anderson"/>
    <x v="1"/>
    <s v="Ensino Médio"/>
    <s v="Finanças"/>
    <x v="0"/>
    <d v="1960-01-13T00:00:00"/>
    <x v="5"/>
    <x v="0"/>
    <n v="29.9"/>
    <n v="65"/>
    <x v="0"/>
  </r>
  <r>
    <n v="30221046505"/>
    <s v="Sandra Rodrigues"/>
    <x v="1"/>
    <s v="Pós-Graduação"/>
    <s v="Negócios"/>
    <x v="0"/>
    <d v="1984-07-01T00:00:00"/>
    <x v="1"/>
    <x v="1"/>
    <n v="35.9"/>
    <n v="41"/>
    <x v="3"/>
  </r>
  <r>
    <n v="30253040173"/>
    <s v="Sofia Martinez"/>
    <x v="1"/>
    <s v="Superior"/>
    <s v="Economia"/>
    <x v="0"/>
    <d v="1972-04-17T00:00:00"/>
    <x v="6"/>
    <x v="1"/>
    <n v="35.9"/>
    <n v="53"/>
    <x v="2"/>
  </r>
  <r>
    <n v="30314403216"/>
    <s v="Marcelo Santos"/>
    <x v="0"/>
    <s v="Superior"/>
    <s v="Esportes"/>
    <x v="0"/>
    <d v="1992-01-21T00:00:00"/>
    <x v="2"/>
    <x v="2"/>
    <n v="9.9"/>
    <n v="33"/>
    <x v="1"/>
  </r>
  <r>
    <n v="30353673725"/>
    <s v="Thomas Barnes"/>
    <x v="0"/>
    <s v="Ensino Médio"/>
    <s v="Política"/>
    <x v="1"/>
    <d v="1995-09-21T00:00:00"/>
    <x v="7"/>
    <x v="3"/>
    <n v="79.900000000000006"/>
    <n v="30"/>
    <x v="1"/>
  </r>
  <r>
    <n v="30383272945"/>
    <s v="Dylan Bell"/>
    <x v="0"/>
    <s v="Mestrado"/>
    <s v="Finanças"/>
    <x v="0"/>
    <d v="1994-06-29T00:00:00"/>
    <x v="5"/>
    <x v="0"/>
    <n v="29.9"/>
    <n v="31"/>
    <x v="1"/>
  </r>
  <r>
    <n v="30421203942"/>
    <s v="Bruno Fernandes"/>
    <x v="0"/>
    <s v="Superior"/>
    <s v="Agronegócio"/>
    <x v="0"/>
    <d v="1979-05-02T00:00:00"/>
    <x v="4"/>
    <x v="1"/>
    <n v="35.9"/>
    <n v="46"/>
    <x v="2"/>
  </r>
  <r>
    <n v="30468143545"/>
    <s v="William Gomes"/>
    <x v="0"/>
    <s v="Ensino Médio"/>
    <s v="Política"/>
    <x v="1"/>
    <d v="1985-06-13T00:00:00"/>
    <x v="3"/>
    <x v="3"/>
    <n v="79.900000000000006"/>
    <n v="40"/>
    <x v="3"/>
  </r>
  <r>
    <n v="30493961253"/>
    <s v="Marcelo Rodrigues"/>
    <x v="0"/>
    <s v="Mestrado"/>
    <s v="Agronegócio"/>
    <x v="2"/>
    <d v="1975-04-17T00:00:00"/>
    <x v="5"/>
    <x v="2"/>
    <n v="9.9"/>
    <n v="50"/>
    <x v="2"/>
  </r>
  <r>
    <n v="30557538193"/>
    <s v="Ricardo Lara"/>
    <x v="0"/>
    <s v="Superior"/>
    <s v="Economia"/>
    <x v="0"/>
    <d v="1969-11-22T00:00:00"/>
    <x v="4"/>
    <x v="1"/>
    <n v="35.9"/>
    <n v="56"/>
    <x v="0"/>
  </r>
  <r>
    <n v="30571772130"/>
    <s v="Bernardo Silva"/>
    <x v="0"/>
    <s v="Ensino Médio"/>
    <s v="Agronegócio"/>
    <x v="2"/>
    <d v="1995-07-11T00:00:00"/>
    <x v="3"/>
    <x v="3"/>
    <n v="79.900000000000006"/>
    <n v="30"/>
    <x v="1"/>
  </r>
  <r>
    <n v="30735636076"/>
    <s v="Rafael Gomes"/>
    <x v="0"/>
    <s v="Mestrado"/>
    <s v="Negócios"/>
    <x v="0"/>
    <d v="1985-11-10T00:00:00"/>
    <x v="0"/>
    <x v="0"/>
    <n v="29.9"/>
    <n v="40"/>
    <x v="3"/>
  </r>
  <r>
    <n v="30763734385"/>
    <s v="José Martins"/>
    <x v="0"/>
    <s v="Ensino Médio"/>
    <s v="Negócios"/>
    <x v="1"/>
    <d v="1981-10-23T00:00:00"/>
    <x v="0"/>
    <x v="3"/>
    <n v="79.900000000000006"/>
    <n v="44"/>
    <x v="2"/>
  </r>
  <r>
    <n v="30850039240"/>
    <s v="Adriana Rojas"/>
    <x v="1"/>
    <s v="Pós-Graduação"/>
    <s v="Negócios"/>
    <x v="0"/>
    <d v="1992-11-21T00:00:00"/>
    <x v="0"/>
    <x v="2"/>
    <n v="9.9"/>
    <n v="33"/>
    <x v="1"/>
  </r>
  <r>
    <n v="30890249713"/>
    <s v="Addison Ward"/>
    <x v="0"/>
    <s v="Superior"/>
    <s v="Economia"/>
    <x v="2"/>
    <d v="1986-09-09T00:00:00"/>
    <x v="0"/>
    <x v="1"/>
    <n v="35.9"/>
    <n v="39"/>
    <x v="3"/>
  </r>
  <r>
    <n v="30904162810"/>
    <s v="Ryan Foster"/>
    <x v="0"/>
    <s v="Ensino Médio"/>
    <s v="Negócios"/>
    <x v="0"/>
    <d v="1970-10-01T00:00:00"/>
    <x v="0"/>
    <x v="1"/>
    <n v="35.9"/>
    <n v="55"/>
    <x v="0"/>
  </r>
  <r>
    <n v="31161056912"/>
    <s v="Emerson Fernandes"/>
    <x v="0"/>
    <s v="Superior"/>
    <s v="Economia"/>
    <x v="2"/>
    <d v="1972-12-23T00:00:00"/>
    <x v="0"/>
    <x v="1"/>
    <n v="35.9"/>
    <n v="52"/>
    <x v="2"/>
  </r>
  <r>
    <n v="31194503371"/>
    <s v="Felipe Pereira"/>
    <x v="0"/>
    <s v="Ensino Médio"/>
    <s v="Esportes"/>
    <x v="0"/>
    <d v="1981-05-03T00:00:00"/>
    <x v="0"/>
    <x v="2"/>
    <n v="9.9"/>
    <n v="44"/>
    <x v="2"/>
  </r>
  <r>
    <n v="31239662843"/>
    <s v="Mariana Silva"/>
    <x v="1"/>
    <s v="Superior"/>
    <s v="Negócios"/>
    <x v="1"/>
    <d v="1957-11-01T00:00:00"/>
    <x v="0"/>
    <x v="2"/>
    <n v="9.9"/>
    <n v="68"/>
    <x v="0"/>
  </r>
  <r>
    <n v="31323760929"/>
    <s v="Evelyn Walker"/>
    <x v="1"/>
    <s v="Superior"/>
    <s v="Economia"/>
    <x v="0"/>
    <d v="1955-08-17T00:00:00"/>
    <x v="0"/>
    <x v="2"/>
    <n v="9.9"/>
    <n v="70"/>
    <x v="0"/>
  </r>
  <r>
    <n v="31519057095"/>
    <s v="Guadalupe Munoz"/>
    <x v="1"/>
    <s v="Doutorado"/>
    <s v="Negócios"/>
    <x v="0"/>
    <d v="1970-06-09T00:00:00"/>
    <x v="1"/>
    <x v="2"/>
    <n v="9.9"/>
    <n v="55"/>
    <x v="0"/>
  </r>
  <r>
    <n v="31654890307"/>
    <s v="Sandra Souza"/>
    <x v="0"/>
    <s v="Superior"/>
    <s v="Negócios"/>
    <x v="0"/>
    <d v="1958-01-08T00:00:00"/>
    <x v="2"/>
    <x v="2"/>
    <n v="9.9"/>
    <n v="67"/>
    <x v="0"/>
  </r>
  <r>
    <n v="31655555649"/>
    <s v="Nathan Bennett"/>
    <x v="0"/>
    <s v="Ensino Médio"/>
    <s v="Negócios"/>
    <x v="1"/>
    <d v="1983-04-14T00:00:00"/>
    <x v="3"/>
    <x v="3"/>
    <n v="79.900000000000006"/>
    <n v="42"/>
    <x v="3"/>
  </r>
  <r>
    <n v="31834447574"/>
    <s v="Maya Watson"/>
    <x v="0"/>
    <s v="Superior"/>
    <s v="Agronegócio"/>
    <x v="2"/>
    <d v="1992-11-12T00:00:00"/>
    <x v="3"/>
    <x v="2"/>
    <n v="9.9"/>
    <n v="33"/>
    <x v="1"/>
  </r>
  <r>
    <n v="31841604153"/>
    <s v="Luz Maria Maldonado"/>
    <x v="0"/>
    <s v="Superior"/>
    <s v="Finanças"/>
    <x v="1"/>
    <d v="1984-11-05T00:00:00"/>
    <x v="3"/>
    <x v="0"/>
    <n v="29.9"/>
    <n v="41"/>
    <x v="3"/>
  </r>
  <r>
    <n v="31886556092"/>
    <s v="Scarlett Mitchell"/>
    <x v="0"/>
    <s v="Pós-Graduação"/>
    <s v="Economia"/>
    <x v="2"/>
    <d v="1990-01-30T00:00:00"/>
    <x v="3"/>
    <x v="2"/>
    <n v="9.9"/>
    <n v="35"/>
    <x v="3"/>
  </r>
  <r>
    <n v="31935346566"/>
    <s v="Bruno Pereira Rodrigues"/>
    <x v="0"/>
    <s v="Superior"/>
    <s v="Economia"/>
    <x v="0"/>
    <d v="1965-09-13T00:00:00"/>
    <x v="3"/>
    <x v="1"/>
    <n v="35.9"/>
    <n v="60"/>
    <x v="0"/>
  </r>
  <r>
    <n v="31969357318"/>
    <s v="Daniel Contreras"/>
    <x v="0"/>
    <s v="Ensino Médio"/>
    <s v="Finanças"/>
    <x v="1"/>
    <d v="1963-08-09T00:00:00"/>
    <x v="3"/>
    <x v="0"/>
    <n v="29.9"/>
    <n v="62"/>
    <x v="0"/>
  </r>
  <r>
    <n v="31971403474"/>
    <s v="Pedro Gomes"/>
    <x v="0"/>
    <s v="Superior"/>
    <s v="Negócios"/>
    <x v="0"/>
    <d v="1989-06-18T00:00:00"/>
    <x v="4"/>
    <x v="0"/>
    <n v="29.9"/>
    <n v="36"/>
    <x v="3"/>
  </r>
  <r>
    <n v="31985811228"/>
    <s v="Hector Aguilar"/>
    <x v="0"/>
    <s v="Ensino Médio"/>
    <s v="Economia"/>
    <x v="1"/>
    <d v="1990-06-11T00:00:00"/>
    <x v="0"/>
    <x v="0"/>
    <n v="29.9"/>
    <n v="35"/>
    <x v="3"/>
  </r>
  <r>
    <n v="32043808085"/>
    <s v="Matheus Almeida Santos"/>
    <x v="0"/>
    <s v="Ensino Médio"/>
    <s v="Negócios"/>
    <x v="0"/>
    <d v="1984-03-26T00:00:00"/>
    <x v="0"/>
    <x v="0"/>
    <n v="29.9"/>
    <n v="41"/>
    <x v="3"/>
  </r>
  <r>
    <n v="32056730472"/>
    <s v="Fernanda Gomes"/>
    <x v="1"/>
    <s v="Pós-Graduação"/>
    <s v="Negócios"/>
    <x v="2"/>
    <d v="1966-09-20T00:00:00"/>
    <x v="0"/>
    <x v="2"/>
    <n v="9.9"/>
    <n v="59"/>
    <x v="0"/>
  </r>
  <r>
    <n v="32076448530"/>
    <s v="Adriana Silva"/>
    <x v="1"/>
    <s v="Superior"/>
    <s v="Agronegócio"/>
    <x v="0"/>
    <d v="1964-12-25T00:00:00"/>
    <x v="0"/>
    <x v="1"/>
    <n v="35.9"/>
    <n v="60"/>
    <x v="0"/>
  </r>
  <r>
    <n v="32076861903"/>
    <s v="Patricia Medina"/>
    <x v="1"/>
    <s v="Superior"/>
    <s v="Economia"/>
    <x v="0"/>
    <d v="1965-08-03T00:00:00"/>
    <x v="0"/>
    <x v="2"/>
    <n v="9.9"/>
    <n v="60"/>
    <x v="0"/>
  </r>
  <r>
    <n v="32080730358"/>
    <s v="Juan Carlos Espinoza"/>
    <x v="0"/>
    <s v="Ensino Médio"/>
    <s v="Esportes"/>
    <x v="0"/>
    <d v="1987-01-17T00:00:00"/>
    <x v="5"/>
    <x v="0"/>
    <n v="29.9"/>
    <n v="38"/>
    <x v="3"/>
  </r>
  <r>
    <n v="32359135449"/>
    <s v="Jordan Hayes"/>
    <x v="0"/>
    <s v="Pós-Graduação"/>
    <s v="Negócios"/>
    <x v="2"/>
    <d v="1961-06-13T00:00:00"/>
    <x v="1"/>
    <x v="2"/>
    <n v="9.9"/>
    <n v="64"/>
    <x v="0"/>
  </r>
  <r>
    <n v="32373994641"/>
    <s v="Bruno Costa"/>
    <x v="0"/>
    <s v="Superior"/>
    <s v="Economia"/>
    <x v="2"/>
    <d v="1956-09-18T00:00:00"/>
    <x v="6"/>
    <x v="0"/>
    <n v="29.9"/>
    <n v="69"/>
    <x v="0"/>
  </r>
  <r>
    <n v="32485376814"/>
    <s v="Carlos Lopez"/>
    <x v="0"/>
    <s v="Superior"/>
    <s v="Negócios"/>
    <x v="1"/>
    <d v="1967-03-05T00:00:00"/>
    <x v="2"/>
    <x v="0"/>
    <n v="29.9"/>
    <n v="58"/>
    <x v="0"/>
  </r>
  <r>
    <n v="32558610072"/>
    <s v="Ana Silva"/>
    <x v="0"/>
    <s v="Mestrado"/>
    <s v="Finanças"/>
    <x v="1"/>
    <d v="1981-03-26T00:00:00"/>
    <x v="7"/>
    <x v="0"/>
    <n v="29.9"/>
    <n v="44"/>
    <x v="2"/>
  </r>
  <r>
    <n v="32861405102"/>
    <s v="Marcelo Almeida"/>
    <x v="0"/>
    <s v="Pós-Graduação"/>
    <s v="Economia"/>
    <x v="2"/>
    <d v="1966-07-20T00:00:00"/>
    <x v="5"/>
    <x v="1"/>
    <n v="35.9"/>
    <n v="59"/>
    <x v="0"/>
  </r>
  <r>
    <n v="32910016971"/>
    <s v="Aria Rivera"/>
    <x v="1"/>
    <s v="Superior"/>
    <s v="Economia"/>
    <x v="0"/>
    <d v="1978-04-07T00:00:00"/>
    <x v="4"/>
    <x v="1"/>
    <n v="35.9"/>
    <n v="47"/>
    <x v="2"/>
  </r>
  <r>
    <n v="32944488783"/>
    <s v="Rafael Silva"/>
    <x v="0"/>
    <s v="Pós-Graduação"/>
    <s v="Economia"/>
    <x v="0"/>
    <d v="1972-05-23T00:00:00"/>
    <x v="3"/>
    <x v="0"/>
    <n v="29.9"/>
    <n v="53"/>
    <x v="2"/>
  </r>
  <r>
    <n v="33045087456"/>
    <s v="Guillermo Soto"/>
    <x v="0"/>
    <s v="Ensino Médio"/>
    <s v="Negócios"/>
    <x v="0"/>
    <d v="1979-12-27T00:00:00"/>
    <x v="5"/>
    <x v="0"/>
    <n v="29.9"/>
    <n v="45"/>
    <x v="2"/>
  </r>
  <r>
    <n v="33083932561"/>
    <s v="Miguel Perez"/>
    <x v="0"/>
    <s v="Pós-Graduação"/>
    <s v="Finanças"/>
    <x v="2"/>
    <d v="1955-02-10T00:00:00"/>
    <x v="4"/>
    <x v="0"/>
    <n v="29.9"/>
    <n v="70"/>
    <x v="0"/>
  </r>
  <r>
    <n v="33120179107"/>
    <s v="Emerson Rodrigues"/>
    <x v="0"/>
    <s v="Pós-Graduação"/>
    <s v="Finanças"/>
    <x v="0"/>
    <d v="1987-09-28T00:00:00"/>
    <x v="3"/>
    <x v="0"/>
    <n v="29.9"/>
    <n v="38"/>
    <x v="3"/>
  </r>
  <r>
    <n v="33221309333"/>
    <s v="Raul Dominguez"/>
    <x v="0"/>
    <s v="Superior"/>
    <s v="Agronegócio"/>
    <x v="2"/>
    <d v="1960-03-27T00:00:00"/>
    <x v="0"/>
    <x v="2"/>
    <n v="9.9"/>
    <n v="65"/>
    <x v="0"/>
  </r>
  <r>
    <n v="33247836129"/>
    <s v="Vilma Oliveira"/>
    <x v="1"/>
    <s v="Superior"/>
    <s v="Economia"/>
    <x v="0"/>
    <d v="1995-10-16T00:00:00"/>
    <x v="0"/>
    <x v="2"/>
    <n v="9.9"/>
    <n v="30"/>
    <x v="1"/>
  </r>
  <r>
    <n v="33329077647"/>
    <s v="Joshua Reed"/>
    <x v="0"/>
    <s v="Pós-Graduação"/>
    <s v="Economia"/>
    <x v="2"/>
    <d v="1960-08-21T00:00:00"/>
    <x v="0"/>
    <x v="0"/>
    <n v="29.9"/>
    <n v="65"/>
    <x v="0"/>
  </r>
  <r>
    <n v="33353271839"/>
    <s v="Alejandro Mendoza"/>
    <x v="0"/>
    <s v="Superior"/>
    <s v="Economia"/>
    <x v="0"/>
    <d v="1955-11-04T00:00:00"/>
    <x v="0"/>
    <x v="1"/>
    <n v="35.9"/>
    <n v="70"/>
    <x v="0"/>
  </r>
  <r>
    <n v="33391594252"/>
    <s v="Rafael Pereira"/>
    <x v="0"/>
    <s v="Ensino Médio"/>
    <s v="Política"/>
    <x v="1"/>
    <d v="1978-03-28T00:00:00"/>
    <x v="0"/>
    <x v="3"/>
    <n v="79.900000000000006"/>
    <n v="47"/>
    <x v="2"/>
  </r>
  <r>
    <n v="33482040032"/>
    <s v="Olivia Brown"/>
    <x v="1"/>
    <s v="Pós-Graduação"/>
    <s v="Esportes"/>
    <x v="1"/>
    <d v="1989-03-20T00:00:00"/>
    <x v="0"/>
    <x v="2"/>
    <n v="9.9"/>
    <n v="36"/>
    <x v="3"/>
  </r>
  <r>
    <n v="33490248117"/>
    <s v="Mariana Martins"/>
    <x v="1"/>
    <s v="Superior"/>
    <s v="Economia"/>
    <x v="0"/>
    <d v="1990-01-10T00:00:00"/>
    <x v="0"/>
    <x v="2"/>
    <n v="9.9"/>
    <n v="35"/>
    <x v="3"/>
  </r>
  <r>
    <n v="33585062982"/>
    <s v="Javier Peralta"/>
    <x v="0"/>
    <s v="Pós-Graduação"/>
    <s v="Agronegócio"/>
    <x v="2"/>
    <d v="1960-03-03T00:00:00"/>
    <x v="0"/>
    <x v="1"/>
    <n v="35.9"/>
    <n v="65"/>
    <x v="0"/>
  </r>
  <r>
    <n v="33614763115"/>
    <s v="Vilma Santos"/>
    <x v="1"/>
    <s v="Ensino Médio"/>
    <s v="Finanças"/>
    <x v="1"/>
    <d v="1993-01-04T00:00:00"/>
    <x v="0"/>
    <x v="0"/>
    <n v="29.9"/>
    <n v="32"/>
    <x v="1"/>
  </r>
  <r>
    <n v="33625332262"/>
    <s v="João Almeida"/>
    <x v="0"/>
    <s v="Superior"/>
    <s v="Economia"/>
    <x v="0"/>
    <d v="1969-11-16T00:00:00"/>
    <x v="1"/>
    <x v="1"/>
    <n v="35.9"/>
    <n v="56"/>
    <x v="0"/>
  </r>
  <r>
    <n v="33812311392"/>
    <s v="Laura Miranda"/>
    <x v="1"/>
    <s v="Ensino Médio"/>
    <s v="Política"/>
    <x v="0"/>
    <d v="1978-05-31T00:00:00"/>
    <x v="2"/>
    <x v="3"/>
    <n v="79.900000000000006"/>
    <n v="47"/>
    <x v="2"/>
  </r>
  <r>
    <n v="33839338471"/>
    <s v="José Alves"/>
    <x v="0"/>
    <s v="Ensino Médio"/>
    <s v="Economia"/>
    <x v="0"/>
    <d v="1995-06-27T00:00:00"/>
    <x v="3"/>
    <x v="0"/>
    <n v="29.9"/>
    <n v="30"/>
    <x v="1"/>
  </r>
  <r>
    <n v="33875188130"/>
    <s v="Laura Ribeiro Lima"/>
    <x v="1"/>
    <s v="Mestrado"/>
    <s v="Negócios"/>
    <x v="0"/>
    <d v="1976-03-26T00:00:00"/>
    <x v="3"/>
    <x v="1"/>
    <n v="35.9"/>
    <n v="49"/>
    <x v="2"/>
  </r>
  <r>
    <n v="33898601118"/>
    <s v="Luz Maria Maldonado"/>
    <x v="0"/>
    <s v="Superior"/>
    <s v="Finanças"/>
    <x v="1"/>
    <d v="1976-08-31T00:00:00"/>
    <x v="3"/>
    <x v="0"/>
    <n v="29.9"/>
    <n v="49"/>
    <x v="2"/>
  </r>
  <r>
    <n v="33959101715"/>
    <s v="José Oliveira"/>
    <x v="0"/>
    <s v="Mestrado"/>
    <s v="Esportes"/>
    <x v="2"/>
    <d v="1960-03-01T00:00:00"/>
    <x v="3"/>
    <x v="2"/>
    <n v="9.9"/>
    <n v="65"/>
    <x v="0"/>
  </r>
  <r>
    <n v="33969903983"/>
    <s v="Mariana Ortiz"/>
    <x v="1"/>
    <s v="Superior"/>
    <s v="Economia"/>
    <x v="2"/>
    <d v="1987-01-21T00:00:00"/>
    <x v="3"/>
    <x v="2"/>
    <n v="9.9"/>
    <n v="38"/>
    <x v="3"/>
  </r>
  <r>
    <n v="34020079542"/>
    <s v="Veronica Reyes"/>
    <x v="1"/>
    <s v="Superior"/>
    <s v="Economia"/>
    <x v="0"/>
    <d v="1963-11-11T00:00:00"/>
    <x v="3"/>
    <x v="2"/>
    <n v="9.9"/>
    <n v="62"/>
    <x v="0"/>
  </r>
  <r>
    <n v="34161309302"/>
    <s v="William Martins"/>
    <x v="0"/>
    <s v="Superior"/>
    <s v="Economia"/>
    <x v="0"/>
    <d v="1995-05-11T00:00:00"/>
    <x v="4"/>
    <x v="1"/>
    <n v="35.9"/>
    <n v="30"/>
    <x v="1"/>
  </r>
  <r>
    <n v="34264176742"/>
    <s v="Marcelo Rodrigues"/>
    <x v="0"/>
    <s v="Mestrado"/>
    <s v="Agronegócio"/>
    <x v="2"/>
    <d v="1976-10-04T00:00:00"/>
    <x v="0"/>
    <x v="2"/>
    <n v="9.9"/>
    <n v="49"/>
    <x v="2"/>
  </r>
  <r>
    <n v="34270622570"/>
    <s v="Ellie Hayes"/>
    <x v="1"/>
    <s v="Superior"/>
    <s v="Economia"/>
    <x v="2"/>
    <d v="1962-12-23T00:00:00"/>
    <x v="0"/>
    <x v="2"/>
    <n v="9.9"/>
    <n v="62"/>
    <x v="0"/>
  </r>
  <r>
    <n v="34275755986"/>
    <s v="Alejandra Herrera"/>
    <x v="1"/>
    <s v="Ensino Médio"/>
    <s v="Economia"/>
    <x v="0"/>
    <d v="1977-05-28T00:00:00"/>
    <x v="0"/>
    <x v="1"/>
    <n v="35.9"/>
    <n v="48"/>
    <x v="2"/>
  </r>
  <r>
    <n v="34289791783"/>
    <s v="Eduardo Medina"/>
    <x v="0"/>
    <s v="Pós-Graduação"/>
    <s v="Economia"/>
    <x v="1"/>
    <d v="1970-11-14T00:00:00"/>
    <x v="0"/>
    <x v="1"/>
    <n v="35.9"/>
    <n v="55"/>
    <x v="0"/>
  </r>
  <r>
    <n v="34323519769"/>
    <s v="Gabriel Evans"/>
    <x v="0"/>
    <s v="Pós-Graduação"/>
    <s v="Negócios"/>
    <x v="0"/>
    <d v="1960-07-13T00:00:00"/>
    <x v="0"/>
    <x v="2"/>
    <n v="9.9"/>
    <n v="65"/>
    <x v="0"/>
  </r>
  <r>
    <n v="34327422259"/>
    <s v="Alejandra Valdez"/>
    <x v="1"/>
    <s v="Ensino Médio"/>
    <s v="Agronegócio"/>
    <x v="0"/>
    <d v="1982-10-23T00:00:00"/>
    <x v="5"/>
    <x v="2"/>
    <n v="9.9"/>
    <n v="43"/>
    <x v="3"/>
  </r>
  <r>
    <n v="34473182713"/>
    <s v="Sandra Almeida"/>
    <x v="1"/>
    <s v="Superior"/>
    <s v="Economia"/>
    <x v="1"/>
    <d v="1988-08-14T00:00:00"/>
    <x v="1"/>
    <x v="0"/>
    <n v="29.9"/>
    <n v="37"/>
    <x v="3"/>
  </r>
  <r>
    <n v="34488046494"/>
    <s v="Jose Flores"/>
    <x v="0"/>
    <s v="Ensino Médio"/>
    <s v="Negócios"/>
    <x v="1"/>
    <d v="1988-05-15T00:00:00"/>
    <x v="6"/>
    <x v="2"/>
    <n v="9.9"/>
    <n v="37"/>
    <x v="3"/>
  </r>
  <r>
    <n v="34501445196"/>
    <s v="Martin Dominguez"/>
    <x v="1"/>
    <s v="Superior"/>
    <s v="Esportes"/>
    <x v="2"/>
    <d v="1974-05-18T00:00:00"/>
    <x v="2"/>
    <x v="2"/>
    <n v="9.9"/>
    <n v="51"/>
    <x v="2"/>
  </r>
  <r>
    <n v="34597516064"/>
    <s v="Mariana Costa"/>
    <x v="1"/>
    <s v="Superior"/>
    <s v="Economia"/>
    <x v="2"/>
    <d v="1994-12-30T00:00:00"/>
    <x v="7"/>
    <x v="1"/>
    <n v="35.9"/>
    <n v="30"/>
    <x v="1"/>
  </r>
  <r>
    <n v="34687761738"/>
    <s v="Julio Cesar Juarez"/>
    <x v="0"/>
    <s v="Superior"/>
    <s v="Economia"/>
    <x v="0"/>
    <d v="1978-07-07T00:00:00"/>
    <x v="5"/>
    <x v="0"/>
    <n v="29.9"/>
    <n v="47"/>
    <x v="2"/>
  </r>
  <r>
    <n v="34823329746"/>
    <s v="Mariana Velazquez"/>
    <x v="1"/>
    <s v="Superior"/>
    <s v="Política"/>
    <x v="1"/>
    <d v="1985-05-28T00:00:00"/>
    <x v="4"/>
    <x v="3"/>
    <n v="79.900000000000006"/>
    <n v="40"/>
    <x v="3"/>
  </r>
  <r>
    <n v="34871980724"/>
    <s v="Rita Almeida"/>
    <x v="1"/>
    <s v="Superior"/>
    <s v="Negócios"/>
    <x v="1"/>
    <d v="1982-05-22T00:00:00"/>
    <x v="3"/>
    <x v="0"/>
    <n v="29.9"/>
    <n v="43"/>
    <x v="3"/>
  </r>
  <r>
    <n v="34970941895"/>
    <s v="Henry Adams"/>
    <x v="0"/>
    <s v="Doutorado"/>
    <s v="Finanças"/>
    <x v="0"/>
    <d v="1970-06-02T00:00:00"/>
    <x v="5"/>
    <x v="0"/>
    <n v="29.9"/>
    <n v="55"/>
    <x v="0"/>
  </r>
  <r>
    <n v="35090452105"/>
    <s v="Thiago Barbosa"/>
    <x v="0"/>
    <s v="Superior"/>
    <s v="Esportes"/>
    <x v="0"/>
    <d v="1964-05-20T00:00:00"/>
    <x v="4"/>
    <x v="2"/>
    <n v="9.9"/>
    <n v="61"/>
    <x v="0"/>
  </r>
  <r>
    <n v="35105004714"/>
    <s v="Eva Powell"/>
    <x v="1"/>
    <s v="Ensino Médio"/>
    <s v="Economia"/>
    <x v="2"/>
    <d v="1991-01-18T00:00:00"/>
    <x v="3"/>
    <x v="0"/>
    <n v="29.9"/>
    <n v="34"/>
    <x v="1"/>
  </r>
  <r>
    <n v="35121899842"/>
    <s v="Marcelo Gomes"/>
    <x v="0"/>
    <s v="Ensino Médio"/>
    <s v="Economia"/>
    <x v="0"/>
    <d v="1982-10-28T00:00:00"/>
    <x v="0"/>
    <x v="0"/>
    <n v="29.9"/>
    <n v="43"/>
    <x v="3"/>
  </r>
  <r>
    <n v="35170686850"/>
    <s v="Fernando Ferreira"/>
    <x v="0"/>
    <s v="Pós-Graduação"/>
    <s v="Economia"/>
    <x v="1"/>
    <d v="1979-11-21T00:00:00"/>
    <x v="0"/>
    <x v="2"/>
    <n v="9.9"/>
    <n v="46"/>
    <x v="2"/>
  </r>
  <r>
    <n v="35176580107"/>
    <s v="Rita Rodrigues"/>
    <x v="1"/>
    <s v="Pós-Graduação"/>
    <s v="Finanças"/>
    <x v="2"/>
    <d v="1967-09-09T00:00:00"/>
    <x v="0"/>
    <x v="0"/>
    <n v="29.9"/>
    <n v="58"/>
    <x v="0"/>
  </r>
  <r>
    <n v="35197147629"/>
    <s v="Laura Mendes"/>
    <x v="1"/>
    <s v="Superior"/>
    <s v="Negócios"/>
    <x v="1"/>
    <d v="1971-01-15T00:00:00"/>
    <x v="0"/>
    <x v="0"/>
    <n v="29.9"/>
    <n v="54"/>
    <x v="0"/>
  </r>
  <r>
    <n v="35417799912"/>
    <s v="Marcelo Oliveira"/>
    <x v="0"/>
    <s v="Mestrado"/>
    <s v="Finanças"/>
    <x v="0"/>
    <d v="1963-07-24T00:00:00"/>
    <x v="0"/>
    <x v="0"/>
    <n v="29.9"/>
    <n v="62"/>
    <x v="0"/>
  </r>
  <r>
    <n v="35423777466"/>
    <s v="Renata Pereira"/>
    <x v="1"/>
    <s v="Doutorado"/>
    <s v="Negócios"/>
    <x v="0"/>
    <d v="1981-10-30T00:00:00"/>
    <x v="0"/>
    <x v="2"/>
    <n v="9.9"/>
    <n v="44"/>
    <x v="2"/>
  </r>
  <r>
    <n v="35462568122"/>
    <s v="Mariana Rodrigues"/>
    <x v="1"/>
    <s v="Ensino Médio"/>
    <s v="Política"/>
    <x v="0"/>
    <d v="1979-05-18T00:00:00"/>
    <x v="0"/>
    <x v="3"/>
    <n v="79.900000000000006"/>
    <n v="46"/>
    <x v="2"/>
  </r>
  <r>
    <n v="35465159917"/>
    <s v="Isabella Gonzalez"/>
    <x v="1"/>
    <s v="Ensino Médio"/>
    <s v="Economia"/>
    <x v="0"/>
    <d v="1987-05-19T00:00:00"/>
    <x v="0"/>
    <x v="2"/>
    <n v="9.9"/>
    <n v="38"/>
    <x v="3"/>
  </r>
  <r>
    <n v="35527656936"/>
    <s v="Lincoln Powell"/>
    <x v="0"/>
    <s v="Superior"/>
    <s v="Economia"/>
    <x v="1"/>
    <d v="1995-03-30T00:00:00"/>
    <x v="0"/>
    <x v="0"/>
    <n v="29.9"/>
    <n v="30"/>
    <x v="1"/>
  </r>
  <r>
    <n v="35548890934"/>
    <s v="Mayra Escobar"/>
    <x v="1"/>
    <s v="Ensino Médio"/>
    <s v="Economia"/>
    <x v="1"/>
    <d v="1988-03-30T00:00:00"/>
    <x v="1"/>
    <x v="0"/>
    <n v="29.9"/>
    <n v="37"/>
    <x v="3"/>
  </r>
  <r>
    <n v="35746258274"/>
    <s v="Sandra Almeida"/>
    <x v="1"/>
    <s v="Superior"/>
    <s v="Economia"/>
    <x v="1"/>
    <d v="1955-03-28T00:00:00"/>
    <x v="2"/>
    <x v="0"/>
    <n v="29.9"/>
    <n v="70"/>
    <x v="0"/>
  </r>
  <r>
    <n v="35783183279"/>
    <s v="Hazel Myers"/>
    <x v="1"/>
    <s v="Superior"/>
    <s v="Economia"/>
    <x v="0"/>
    <d v="1963-08-16T00:00:00"/>
    <x v="3"/>
    <x v="2"/>
    <n v="9.9"/>
    <n v="62"/>
    <x v="0"/>
  </r>
  <r>
    <n v="35825297492"/>
    <s v="Gabriel Evans"/>
    <x v="0"/>
    <s v="Pós-Graduação"/>
    <s v="Negócios"/>
    <x v="0"/>
    <d v="1979-06-23T00:00:00"/>
    <x v="3"/>
    <x v="2"/>
    <n v="9.9"/>
    <n v="46"/>
    <x v="2"/>
  </r>
  <r>
    <n v="35897348847"/>
    <s v="Alma Rosa Delgado"/>
    <x v="1"/>
    <s v="Superior"/>
    <s v="Negócios"/>
    <x v="1"/>
    <d v="1955-02-26T00:00:00"/>
    <x v="3"/>
    <x v="2"/>
    <n v="9.9"/>
    <n v="70"/>
    <x v="0"/>
  </r>
  <r>
    <n v="35961398099"/>
    <s v="Jonathan Phillips"/>
    <x v="0"/>
    <s v="Superior"/>
    <s v="Política"/>
    <x v="1"/>
    <d v="1978-12-27T00:00:00"/>
    <x v="3"/>
    <x v="3"/>
    <n v="79.900000000000006"/>
    <n v="46"/>
    <x v="2"/>
  </r>
  <r>
    <n v="36049081781"/>
    <s v="Serenity Morris"/>
    <x v="0"/>
    <s v="Superior"/>
    <s v="Economia"/>
    <x v="0"/>
    <d v="1982-08-31T00:00:00"/>
    <x v="3"/>
    <x v="1"/>
    <n v="35.9"/>
    <n v="43"/>
    <x v="3"/>
  </r>
  <r>
    <n v="36224475305"/>
    <s v="Mariana Santos"/>
    <x v="1"/>
    <s v="Ensino Médio"/>
    <s v="Esportes"/>
    <x v="2"/>
    <d v="1977-02-27T00:00:00"/>
    <x v="3"/>
    <x v="2"/>
    <n v="9.9"/>
    <n v="48"/>
    <x v="2"/>
  </r>
  <r>
    <n v="36291746435"/>
    <s v="Hunter Sullivan"/>
    <x v="0"/>
    <s v="Ensino Médio"/>
    <s v="Economia"/>
    <x v="1"/>
    <d v="1998-09-07T00:00:00"/>
    <x v="4"/>
    <x v="0"/>
    <n v="29.9"/>
    <n v="27"/>
    <x v="1"/>
  </r>
  <r>
    <n v="36396081744"/>
    <s v="Penelope Bailey"/>
    <x v="1"/>
    <s v="Superior"/>
    <s v="Economia"/>
    <x v="2"/>
    <d v="1970-05-23T00:00:00"/>
    <x v="0"/>
    <x v="0"/>
    <n v="29.9"/>
    <n v="55"/>
    <x v="0"/>
  </r>
  <r>
    <n v="36398957082"/>
    <s v="Ana Karen Pacheco"/>
    <x v="1"/>
    <s v="Ensino Médio"/>
    <s v="Negócios"/>
    <x v="1"/>
    <d v="1980-05-07T00:00:00"/>
    <x v="0"/>
    <x v="2"/>
    <n v="9.9"/>
    <n v="45"/>
    <x v="2"/>
  </r>
  <r>
    <n v="36403873767"/>
    <s v="Daniel Santos Gomes"/>
    <x v="0"/>
    <s v="Pós-Graduação"/>
    <s v="Agronegócio"/>
    <x v="2"/>
    <d v="1963-09-20T00:00:00"/>
    <x v="0"/>
    <x v="1"/>
    <n v="35.9"/>
    <n v="62"/>
    <x v="0"/>
  </r>
  <r>
    <n v="36431106330"/>
    <s v="Gustavo Neves"/>
    <x v="0"/>
    <s v="Pós-Graduação"/>
    <s v="Agronegócio"/>
    <x v="2"/>
    <d v="1983-08-23T00:00:00"/>
    <x v="0"/>
    <x v="3"/>
    <n v="79.900000000000006"/>
    <n v="42"/>
    <x v="3"/>
  </r>
  <r>
    <n v="36441615871"/>
    <s v="Jorge Vazquez"/>
    <x v="0"/>
    <s v="Ensino Médio"/>
    <s v="Economia"/>
    <x v="0"/>
    <d v="1986-11-17T00:00:00"/>
    <x v="0"/>
    <x v="0"/>
    <n v="29.9"/>
    <n v="39"/>
    <x v="3"/>
  </r>
  <r>
    <n v="36548470324"/>
    <s v="Lorena Chavez"/>
    <x v="1"/>
    <s v="Mestrado"/>
    <s v="Negócios"/>
    <x v="0"/>
    <d v="1974-03-02T00:00:00"/>
    <x v="5"/>
    <x v="0"/>
    <n v="29.9"/>
    <n v="51"/>
    <x v="2"/>
  </r>
  <r>
    <n v="36755533362"/>
    <s v="Daniel Santos Gomes"/>
    <x v="0"/>
    <s v="Pós-Graduação"/>
    <s v="Agronegócio"/>
    <x v="2"/>
    <d v="1991-01-06T00:00:00"/>
    <x v="1"/>
    <x v="1"/>
    <n v="35.9"/>
    <n v="34"/>
    <x v="1"/>
  </r>
  <r>
    <n v="36796717410"/>
    <s v="Lily Cooper"/>
    <x v="1"/>
    <s v="Ensino Médio"/>
    <s v="Esportes"/>
    <x v="0"/>
    <d v="1985-06-20T00:00:00"/>
    <x v="6"/>
    <x v="2"/>
    <n v="9.9"/>
    <n v="40"/>
    <x v="3"/>
  </r>
  <r>
    <n v="36829497298"/>
    <s v="Emerson Oliveira"/>
    <x v="0"/>
    <s v="Mestrado"/>
    <s v="Negócios"/>
    <x v="0"/>
    <d v="1981-10-24T00:00:00"/>
    <x v="2"/>
    <x v="1"/>
    <n v="35.9"/>
    <n v="44"/>
    <x v="2"/>
  </r>
  <r>
    <n v="36836051756"/>
    <s v="Rita Pereira"/>
    <x v="1"/>
    <s v="Doutorado"/>
    <s v="Negócios"/>
    <x v="0"/>
    <d v="1961-10-03T00:00:00"/>
    <x v="7"/>
    <x v="2"/>
    <n v="9.9"/>
    <n v="64"/>
    <x v="0"/>
  </r>
  <r>
    <n v="36873140092"/>
    <s v="Sandra Costa"/>
    <x v="1"/>
    <s v="Ensino Médio"/>
    <s v="Economia"/>
    <x v="2"/>
    <d v="1991-07-18T00:00:00"/>
    <x v="5"/>
    <x v="0"/>
    <n v="29.9"/>
    <n v="34"/>
    <x v="1"/>
  </r>
  <r>
    <n v="36909199882"/>
    <s v="Ana Silva"/>
    <x v="0"/>
    <s v="Superior"/>
    <s v="Finanças"/>
    <x v="1"/>
    <d v="1981-08-09T00:00:00"/>
    <x v="4"/>
    <x v="0"/>
    <n v="29.9"/>
    <n v="44"/>
    <x v="2"/>
  </r>
  <r>
    <n v="36918195071"/>
    <s v="Felipe Costa"/>
    <x v="0"/>
    <s v="Pós-Graduação"/>
    <s v="Economia"/>
    <x v="2"/>
    <d v="1982-10-01T00:00:00"/>
    <x v="3"/>
    <x v="1"/>
    <n v="35.9"/>
    <n v="43"/>
    <x v="3"/>
  </r>
  <r>
    <n v="36953446241"/>
    <s v="Maria das Graças Silva"/>
    <x v="1"/>
    <s v="Ensino Médio"/>
    <s v="Finanças"/>
    <x v="0"/>
    <d v="1969-03-07T00:00:00"/>
    <x v="5"/>
    <x v="0"/>
    <n v="29.9"/>
    <n v="56"/>
    <x v="0"/>
  </r>
  <r>
    <n v="36997621098"/>
    <s v="José Gomes"/>
    <x v="0"/>
    <s v="Pós-Graduação"/>
    <s v="Esportes"/>
    <x v="1"/>
    <d v="1961-06-30T00:00:00"/>
    <x v="4"/>
    <x v="2"/>
    <n v="9.9"/>
    <n v="64"/>
    <x v="0"/>
  </r>
  <r>
    <n v="37045628622"/>
    <s v="Bernardo Costa"/>
    <x v="0"/>
    <s v="Pós-Graduação"/>
    <s v="Negócios"/>
    <x v="0"/>
    <d v="1968-04-08T00:00:00"/>
    <x v="3"/>
    <x v="0"/>
    <n v="29.9"/>
    <n v="57"/>
    <x v="0"/>
  </r>
  <r>
    <n v="37057811668"/>
    <s v="Adrian Ramirez"/>
    <x v="0"/>
    <s v="Superior"/>
    <s v="Economia"/>
    <x v="2"/>
    <d v="1989-05-07T00:00:00"/>
    <x v="0"/>
    <x v="2"/>
    <n v="9.9"/>
    <n v="36"/>
    <x v="3"/>
  </r>
  <r>
    <n v="37211590394"/>
    <s v="Carmen Guzman"/>
    <x v="1"/>
    <s v="Pós-Graduação"/>
    <s v="Economia"/>
    <x v="1"/>
    <d v="1983-12-19T00:00:00"/>
    <x v="0"/>
    <x v="1"/>
    <n v="35.9"/>
    <n v="41"/>
    <x v="3"/>
  </r>
  <r>
    <n v="37236926966"/>
    <s v="Laura Pineda"/>
    <x v="1"/>
    <s v="Superior"/>
    <s v="Negócios"/>
    <x v="0"/>
    <d v="1965-08-24T00:00:00"/>
    <x v="0"/>
    <x v="0"/>
    <n v="29.9"/>
    <n v="60"/>
    <x v="0"/>
  </r>
  <r>
    <n v="37275901953"/>
    <s v="Juan Hernandez"/>
    <x v="0"/>
    <s v="Ensino Médio"/>
    <s v="Política"/>
    <x v="1"/>
    <d v="1964-03-26T00:00:00"/>
    <x v="0"/>
    <x v="3"/>
    <n v="79.900000000000006"/>
    <n v="61"/>
    <x v="0"/>
  </r>
  <r>
    <n v="37464613995"/>
    <s v="Laura Ribeiro Lima"/>
    <x v="1"/>
    <s v="Mestrado"/>
    <s v="Negócios"/>
    <x v="0"/>
    <d v="1980-09-02T00:00:00"/>
    <x v="0"/>
    <x v="1"/>
    <n v="35.9"/>
    <n v="45"/>
    <x v="2"/>
  </r>
  <r>
    <n v="37625766880"/>
    <s v="Zoey Ramirez"/>
    <x v="0"/>
    <s v="Ensino Médio"/>
    <s v="Economia"/>
    <x v="0"/>
    <d v="1963-05-14T00:00:00"/>
    <x v="0"/>
    <x v="2"/>
    <n v="9.9"/>
    <n v="62"/>
    <x v="0"/>
  </r>
  <r>
    <n v="37652222715"/>
    <s v="Harper Martinez"/>
    <x v="0"/>
    <s v="Pós-Graduação"/>
    <s v="Economia"/>
    <x v="1"/>
    <d v="1995-09-07T00:00:00"/>
    <x v="0"/>
    <x v="1"/>
    <n v="35.9"/>
    <n v="30"/>
    <x v="1"/>
  </r>
  <r>
    <n v="37693210425"/>
    <s v="Francisco Morales"/>
    <x v="0"/>
    <s v="Superior"/>
    <s v="Negócios"/>
    <x v="1"/>
    <d v="1989-06-30T00:00:00"/>
    <x v="0"/>
    <x v="1"/>
    <n v="35.9"/>
    <n v="36"/>
    <x v="3"/>
  </r>
  <r>
    <n v="37769893799"/>
    <s v="Alejandro Garcia"/>
    <x v="0"/>
    <s v="Superior"/>
    <s v="Finanças"/>
    <x v="1"/>
    <d v="1960-09-02T00:00:00"/>
    <x v="0"/>
    <x v="0"/>
    <n v="29.9"/>
    <n v="65"/>
    <x v="0"/>
  </r>
  <r>
    <n v="37770682454"/>
    <s v="Patricia Fuentes"/>
    <x v="1"/>
    <s v="Ensino Médio"/>
    <s v="Política"/>
    <x v="1"/>
    <d v="1965-11-20T00:00:00"/>
    <x v="1"/>
    <x v="3"/>
    <n v="79.900000000000006"/>
    <n v="60"/>
    <x v="0"/>
  </r>
  <r>
    <n v="37789075708"/>
    <s v="Rita Martins"/>
    <x v="1"/>
    <s v="Superior"/>
    <s v="Economia"/>
    <x v="0"/>
    <d v="1990-08-16T00:00:00"/>
    <x v="2"/>
    <x v="1"/>
    <n v="35.9"/>
    <n v="35"/>
    <x v="3"/>
  </r>
  <r>
    <n v="37966879871"/>
    <s v="Rafael Martins"/>
    <x v="0"/>
    <s v="Superior"/>
    <s v="Agronegócio"/>
    <x v="0"/>
    <d v="1965-11-28T00:00:00"/>
    <x v="3"/>
    <x v="3"/>
    <n v="79.900000000000006"/>
    <n v="60"/>
    <x v="0"/>
  </r>
  <r>
    <n v="37973746271"/>
    <s v="William Santos"/>
    <x v="0"/>
    <s v="Pós-Graduação"/>
    <s v="Economia"/>
    <x v="2"/>
    <d v="1978-03-15T00:00:00"/>
    <x v="3"/>
    <x v="2"/>
    <n v="9.9"/>
    <n v="47"/>
    <x v="2"/>
  </r>
  <r>
    <n v="37978687320"/>
    <s v="Salvador Bravo"/>
    <x v="0"/>
    <s v="Pós-Graduação"/>
    <s v="Economia"/>
    <x v="2"/>
    <d v="1978-05-31T00:00:00"/>
    <x v="3"/>
    <x v="2"/>
    <n v="9.9"/>
    <n v="47"/>
    <x v="2"/>
  </r>
  <r>
    <n v="38016517517"/>
    <s v="Adrian Ramirez"/>
    <x v="0"/>
    <s v="Superior"/>
    <s v="Economia"/>
    <x v="2"/>
    <d v="1974-10-14T00:00:00"/>
    <x v="3"/>
    <x v="2"/>
    <n v="9.9"/>
    <n v="51"/>
    <x v="2"/>
  </r>
  <r>
    <n v="38032052054"/>
    <s v="Silvia Navarro"/>
    <x v="1"/>
    <s v="Pós-Graduação"/>
    <s v="Finanças"/>
    <x v="0"/>
    <d v="1980-06-29T00:00:00"/>
    <x v="3"/>
    <x v="0"/>
    <n v="29.9"/>
    <n v="45"/>
    <x v="2"/>
  </r>
  <r>
    <n v="38046725955"/>
    <s v="Emerson Fernandes"/>
    <x v="0"/>
    <s v="Superior"/>
    <s v="Economia"/>
    <x v="2"/>
    <d v="1975-07-19T00:00:00"/>
    <x v="3"/>
    <x v="1"/>
    <n v="35.9"/>
    <n v="50"/>
    <x v="2"/>
  </r>
  <r>
    <n v="38165951942"/>
    <s v="Sofia King"/>
    <x v="1"/>
    <s v="Ensino Médio"/>
    <s v="Agronegócio"/>
    <x v="0"/>
    <d v="1973-09-07T00:00:00"/>
    <x v="4"/>
    <x v="1"/>
    <n v="35.9"/>
    <n v="52"/>
    <x v="2"/>
  </r>
  <r>
    <n v="38193237578"/>
    <s v="Mariana Pereira"/>
    <x v="1"/>
    <s v="Pós-Graduação"/>
    <s v="Finanças"/>
    <x v="0"/>
    <d v="1987-12-23T00:00:00"/>
    <x v="0"/>
    <x v="0"/>
    <n v="29.9"/>
    <n v="37"/>
    <x v="3"/>
  </r>
  <r>
    <n v="38242427646"/>
    <s v="Sofia King"/>
    <x v="1"/>
    <s v="Mestrado"/>
    <s v="Agronegócio"/>
    <x v="0"/>
    <d v="1973-10-19T00:00:00"/>
    <x v="0"/>
    <x v="1"/>
    <n v="35.9"/>
    <n v="52"/>
    <x v="2"/>
  </r>
  <r>
    <n v="38262075932"/>
    <s v="Beatriz Delgado"/>
    <x v="1"/>
    <s v="Ensino Médio"/>
    <s v="Esportes"/>
    <x v="2"/>
    <d v="1974-07-21T00:00:00"/>
    <x v="0"/>
    <x v="2"/>
    <n v="9.9"/>
    <n v="51"/>
    <x v="2"/>
  </r>
  <r>
    <n v="38278121652"/>
    <s v="Mariana Pereira"/>
    <x v="1"/>
    <s v="Pós-Graduação"/>
    <s v="Finanças"/>
    <x v="0"/>
    <d v="1960-11-21T00:00:00"/>
    <x v="0"/>
    <x v="0"/>
    <n v="29.9"/>
    <n v="65"/>
    <x v="0"/>
  </r>
  <r>
    <n v="38385048319"/>
    <s v="Madison Green"/>
    <x v="0"/>
    <s v="Superior"/>
    <s v="Agronegócio"/>
    <x v="0"/>
    <d v="1967-04-19T00:00:00"/>
    <x v="0"/>
    <x v="3"/>
    <n v="79.900000000000006"/>
    <n v="58"/>
    <x v="0"/>
  </r>
  <r>
    <n v="38423790148"/>
    <s v="José Santos"/>
    <x v="0"/>
    <s v="Pós-Graduação"/>
    <s v="Negócios"/>
    <x v="0"/>
    <d v="1972-12-27T00:00:00"/>
    <x v="5"/>
    <x v="2"/>
    <n v="9.9"/>
    <n v="52"/>
    <x v="2"/>
  </r>
  <r>
    <n v="38436562260"/>
    <s v="Rafael Fernandes"/>
    <x v="0"/>
    <s v="Superior"/>
    <s v="Economia"/>
    <x v="0"/>
    <d v="1984-12-02T00:00:00"/>
    <x v="1"/>
    <x v="1"/>
    <n v="35.9"/>
    <n v="41"/>
    <x v="3"/>
  </r>
  <r>
    <n v="38480201900"/>
    <s v="Samuel Nelson"/>
    <x v="0"/>
    <s v="Ensino Médio"/>
    <s v="Política"/>
    <x v="1"/>
    <d v="1983-04-23T00:00:00"/>
    <x v="6"/>
    <x v="3"/>
    <n v="79.900000000000006"/>
    <n v="42"/>
    <x v="3"/>
  </r>
  <r>
    <n v="38500617594"/>
    <s v="Bernardo Santos"/>
    <x v="0"/>
    <s v="Superior"/>
    <s v="Política"/>
    <x v="1"/>
    <d v="1989-01-25T00:00:00"/>
    <x v="2"/>
    <x v="3"/>
    <n v="79.900000000000006"/>
    <n v="36"/>
    <x v="3"/>
  </r>
  <r>
    <n v="38507330255"/>
    <s v="Renata Costa"/>
    <x v="1"/>
    <s v="Ensino Médio"/>
    <s v="Economia"/>
    <x v="0"/>
    <d v="1971-08-19T00:00:00"/>
    <x v="7"/>
    <x v="1"/>
    <n v="35.9"/>
    <n v="54"/>
    <x v="0"/>
  </r>
  <r>
    <n v="38563822180"/>
    <s v="Maria Vargas"/>
    <x v="1"/>
    <s v="Pós-Graduação"/>
    <s v="Economia"/>
    <x v="0"/>
    <d v="1978-09-20T00:00:00"/>
    <x v="5"/>
    <x v="0"/>
    <n v="29.9"/>
    <n v="47"/>
    <x v="2"/>
  </r>
  <r>
    <n v="38574789204"/>
    <s v="Marcelo Costa"/>
    <x v="0"/>
    <s v="Superior"/>
    <s v="Política"/>
    <x v="1"/>
    <d v="1969-10-11T00:00:00"/>
    <x v="4"/>
    <x v="3"/>
    <n v="79.900000000000006"/>
    <n v="56"/>
    <x v="0"/>
  </r>
  <r>
    <n v="38720204448"/>
    <s v="Benjamin Vasquez"/>
    <x v="0"/>
    <s v="Ensino Médio"/>
    <s v="Economia"/>
    <x v="0"/>
    <d v="1984-03-22T00:00:00"/>
    <x v="3"/>
    <x v="1"/>
    <n v="35.9"/>
    <n v="41"/>
    <x v="3"/>
  </r>
  <r>
    <n v="38732340622"/>
    <s v="Carolina Gomes Rodrigues"/>
    <x v="1"/>
    <s v="Doutorado"/>
    <s v="Negócios"/>
    <x v="0"/>
    <d v="1992-05-17T00:00:00"/>
    <x v="5"/>
    <x v="2"/>
    <n v="9.9"/>
    <n v="33"/>
    <x v="1"/>
  </r>
  <r>
    <n v="38738606466"/>
    <s v="Alexander Lewis"/>
    <x v="0"/>
    <s v="Ensino Médio"/>
    <s v="Política"/>
    <x v="0"/>
    <d v="1996-02-04T00:00:00"/>
    <x v="4"/>
    <x v="3"/>
    <n v="79.900000000000006"/>
    <n v="29"/>
    <x v="1"/>
  </r>
  <r>
    <n v="38797538027"/>
    <s v="Julian Russell"/>
    <x v="1"/>
    <s v="Doutorado"/>
    <s v="Negócios"/>
    <x v="0"/>
    <d v="1961-11-11T00:00:00"/>
    <x v="3"/>
    <x v="2"/>
    <n v="9.9"/>
    <n v="64"/>
    <x v="0"/>
  </r>
  <r>
    <n v="38804835975"/>
    <s v="Felipe Costa"/>
    <x v="0"/>
    <s v="Pós-Graduação"/>
    <s v="Economia"/>
    <x v="2"/>
    <d v="1987-01-25T00:00:00"/>
    <x v="0"/>
    <x v="1"/>
    <n v="35.9"/>
    <n v="38"/>
    <x v="3"/>
  </r>
  <r>
    <n v="39011685266"/>
    <s v="Mariana Almeida"/>
    <x v="1"/>
    <s v="Pós-Graduação"/>
    <s v="Economia"/>
    <x v="0"/>
    <d v="1968-08-25T00:00:00"/>
    <x v="0"/>
    <x v="1"/>
    <n v="35.9"/>
    <n v="57"/>
    <x v="0"/>
  </r>
  <r>
    <n v="39016491455"/>
    <s v="Isabelle Howard"/>
    <x v="1"/>
    <s v="Superior"/>
    <s v="Esportes"/>
    <x v="2"/>
    <d v="1975-04-07T00:00:00"/>
    <x v="0"/>
    <x v="2"/>
    <n v="9.9"/>
    <n v="50"/>
    <x v="2"/>
  </r>
  <r>
    <n v="39161320210"/>
    <s v="William Rodrigues"/>
    <x v="0"/>
    <s v="Ensino Médio"/>
    <s v="Negócios"/>
    <x v="0"/>
    <d v="1986-05-30T00:00:00"/>
    <x v="0"/>
    <x v="2"/>
    <n v="9.9"/>
    <n v="39"/>
    <x v="3"/>
  </r>
  <r>
    <n v="39205147195"/>
    <s v="Pedro Santos"/>
    <x v="0"/>
    <s v="Ensino Médio"/>
    <s v="Economia"/>
    <x v="0"/>
    <d v="1956-05-24T00:00:00"/>
    <x v="0"/>
    <x v="1"/>
    <n v="35.9"/>
    <n v="69"/>
    <x v="0"/>
  </r>
  <r>
    <n v="39217268673"/>
    <s v="Daniel Santos"/>
    <x v="0"/>
    <s v="Ensino Médio"/>
    <s v="Agronegócio"/>
    <x v="2"/>
    <d v="1965-05-10T00:00:00"/>
    <x v="0"/>
    <x v="3"/>
    <n v="79.900000000000006"/>
    <n v="60"/>
    <x v="0"/>
  </r>
  <r>
    <n v="39300028907"/>
    <s v="Gabriela Mendoza"/>
    <x v="0"/>
    <s v="Pós-Graduação"/>
    <s v="Esportes"/>
    <x v="1"/>
    <d v="1956-11-19T00:00:00"/>
    <x v="0"/>
    <x v="2"/>
    <n v="9.9"/>
    <n v="69"/>
    <x v="0"/>
  </r>
  <r>
    <n v="39316864102"/>
    <s v="Rafael Pereira"/>
    <x v="0"/>
    <s v="Ensino Médio"/>
    <s v="Política"/>
    <x v="1"/>
    <d v="1980-06-27T00:00:00"/>
    <x v="0"/>
    <x v="3"/>
    <n v="79.900000000000006"/>
    <n v="45"/>
    <x v="2"/>
  </r>
  <r>
    <n v="39357979099"/>
    <s v="Rodrigo Torres"/>
    <x v="0"/>
    <s v="Ensino Médio"/>
    <s v="Economia"/>
    <x v="0"/>
    <d v="1977-04-09T00:00:00"/>
    <x v="0"/>
    <x v="2"/>
    <n v="9.9"/>
    <n v="48"/>
    <x v="2"/>
  </r>
  <r>
    <n v="39482642623"/>
    <s v="Gabriel Lima"/>
    <x v="0"/>
    <s v="Superior"/>
    <s v="Agronegócio"/>
    <x v="0"/>
    <d v="1969-05-07T00:00:00"/>
    <x v="1"/>
    <x v="1"/>
    <n v="35.9"/>
    <n v="56"/>
    <x v="0"/>
  </r>
  <r>
    <n v="39613225496"/>
    <s v="Rodrigo Mora"/>
    <x v="0"/>
    <s v="Mestrado"/>
    <s v="Negócios"/>
    <x v="2"/>
    <d v="1973-01-09T00:00:00"/>
    <x v="2"/>
    <x v="0"/>
    <n v="29.9"/>
    <n v="52"/>
    <x v="2"/>
  </r>
  <r>
    <n v="39632140009"/>
    <s v="Pedro Almeida"/>
    <x v="0"/>
    <s v="Superior"/>
    <s v="Finanças"/>
    <x v="0"/>
    <d v="1987-10-31T00:00:00"/>
    <x v="3"/>
    <x v="0"/>
    <n v="29.9"/>
    <n v="38"/>
    <x v="3"/>
  </r>
  <r>
    <n v="39660449593"/>
    <s v="Skylar Turner"/>
    <x v="1"/>
    <s v="Mestrado"/>
    <s v="Esportes"/>
    <x v="2"/>
    <d v="1992-11-29T00:00:00"/>
    <x v="3"/>
    <x v="2"/>
    <n v="9.9"/>
    <n v="33"/>
    <x v="1"/>
  </r>
  <r>
    <n v="39678618932"/>
    <s v="Letícia Gomes"/>
    <x v="1"/>
    <s v="Pós-Graduação"/>
    <s v="Negócios"/>
    <x v="0"/>
    <d v="1975-08-15T00:00:00"/>
    <x v="3"/>
    <x v="1"/>
    <n v="35.9"/>
    <n v="50"/>
    <x v="2"/>
  </r>
  <r>
    <n v="39680758592"/>
    <s v="Thiago Barbosa Santos"/>
    <x v="0"/>
    <s v="Superior"/>
    <s v="Economia"/>
    <x v="0"/>
    <d v="1988-04-20T00:00:00"/>
    <x v="3"/>
    <x v="2"/>
    <n v="9.9"/>
    <n v="37"/>
    <x v="3"/>
  </r>
  <r>
    <n v="39721320066"/>
    <s v="Elizabeth Young"/>
    <x v="1"/>
    <s v="Pós-Graduação"/>
    <s v="Economia"/>
    <x v="0"/>
    <d v="1970-04-02T00:00:00"/>
    <x v="3"/>
    <x v="0"/>
    <n v="29.9"/>
    <n v="55"/>
    <x v="0"/>
  </r>
  <r>
    <n v="39724964915"/>
    <s v="Alexander Lewis"/>
    <x v="0"/>
    <s v="Mestrado"/>
    <s v="Política"/>
    <x v="0"/>
    <d v="1965-10-29T00:00:00"/>
    <x v="3"/>
    <x v="3"/>
    <n v="79.900000000000006"/>
    <n v="60"/>
    <x v="0"/>
  </r>
  <r>
    <n v="39816227977"/>
    <s v="Eva Foster"/>
    <x v="1"/>
    <s v="Ensino Médio"/>
    <s v="Economia"/>
    <x v="0"/>
    <d v="1974-05-13T00:00:00"/>
    <x v="4"/>
    <x v="1"/>
    <n v="35.9"/>
    <n v="51"/>
    <x v="2"/>
  </r>
  <r>
    <n v="39864520583"/>
    <s v="Mateus Almeida"/>
    <x v="0"/>
    <s v="Superior"/>
    <s v="Economia"/>
    <x v="0"/>
    <d v="1994-12-21T00:00:00"/>
    <x v="0"/>
    <x v="1"/>
    <n v="35.9"/>
    <n v="30"/>
    <x v="1"/>
  </r>
  <r>
    <n v="40059307494"/>
    <s v="Renata Almeida"/>
    <x v="1"/>
    <s v="Superior"/>
    <s v="Finanças"/>
    <x v="1"/>
    <d v="1955-05-30T00:00:00"/>
    <x v="0"/>
    <x v="0"/>
    <n v="29.9"/>
    <n v="70"/>
    <x v="0"/>
  </r>
  <r>
    <n v="40159055249"/>
    <s v="Fernando Rios"/>
    <x v="0"/>
    <s v="Superior"/>
    <s v="Negócios"/>
    <x v="1"/>
    <d v="1971-08-20T00:00:00"/>
    <x v="0"/>
    <x v="2"/>
    <n v="9.9"/>
    <n v="54"/>
    <x v="0"/>
  </r>
  <r>
    <n v="40164211200"/>
    <s v="Marcelo Silva"/>
    <x v="0"/>
    <s v="Superior"/>
    <s v="Economia"/>
    <x v="0"/>
    <d v="1958-04-18T00:00:00"/>
    <x v="0"/>
    <x v="1"/>
    <n v="35.9"/>
    <n v="67"/>
    <x v="0"/>
  </r>
  <r>
    <n v="40243096179"/>
    <s v="Rita Fernandes"/>
    <x v="1"/>
    <s v="Superior"/>
    <s v="Negócios"/>
    <x v="0"/>
    <d v="1965-09-24T00:00:00"/>
    <x v="0"/>
    <x v="0"/>
    <n v="29.9"/>
    <n v="60"/>
    <x v="0"/>
  </r>
  <r>
    <n v="40248631760"/>
    <s v="Renata Oliveira"/>
    <x v="1"/>
    <s v="Ensino Médio"/>
    <s v="Negócios"/>
    <x v="1"/>
    <d v="1995-05-19T00:00:00"/>
    <x v="5"/>
    <x v="2"/>
    <n v="9.9"/>
    <n v="30"/>
    <x v="1"/>
  </r>
  <r>
    <n v="40397347853"/>
    <s v="Paisley King"/>
    <x v="0"/>
    <s v="Ensino Médio"/>
    <s v="Agronegócio"/>
    <x v="0"/>
    <d v="1987-06-23T00:00:00"/>
    <x v="1"/>
    <x v="3"/>
    <n v="79.900000000000006"/>
    <n v="38"/>
    <x v="3"/>
  </r>
  <r>
    <n v="40622214948"/>
    <s v="Estefania Velasco"/>
    <x v="1"/>
    <s v="Pós-Graduação"/>
    <s v="Política"/>
    <x v="2"/>
    <d v="1986-03-05T00:00:00"/>
    <x v="6"/>
    <x v="3"/>
    <n v="79.900000000000006"/>
    <n v="39"/>
    <x v="3"/>
  </r>
  <r>
    <n v="40810919120"/>
    <s v="Rafael Oliveira"/>
    <x v="0"/>
    <s v="Superior"/>
    <s v="Negócios"/>
    <x v="1"/>
    <d v="1960-08-03T00:00:00"/>
    <x v="2"/>
    <x v="1"/>
    <n v="35.9"/>
    <n v="65"/>
    <x v="0"/>
  </r>
  <r>
    <n v="40891216129"/>
    <s v="Sandra Oliveira"/>
    <x v="1"/>
    <s v="Mestrado"/>
    <s v="Negócios"/>
    <x v="0"/>
    <d v="1984-01-22T00:00:00"/>
    <x v="7"/>
    <x v="2"/>
    <n v="9.9"/>
    <n v="41"/>
    <x v="3"/>
  </r>
  <r>
    <n v="40907557618"/>
    <s v="Emilio Sandoval"/>
    <x v="0"/>
    <s v="Superior"/>
    <s v="Economia"/>
    <x v="2"/>
    <d v="1973-02-05T00:00:00"/>
    <x v="5"/>
    <x v="1"/>
    <n v="35.9"/>
    <n v="52"/>
    <x v="2"/>
  </r>
  <r>
    <n v="40955062884"/>
    <s v="Bruno Martins"/>
    <x v="0"/>
    <s v="Ensino Médio"/>
    <s v="Negócios"/>
    <x v="0"/>
    <d v="1993-01-07T00:00:00"/>
    <x v="4"/>
    <x v="3"/>
    <n v="79.900000000000006"/>
    <n v="32"/>
    <x v="1"/>
  </r>
  <r>
    <n v="41027808363"/>
    <s v="Audrey Brooks"/>
    <x v="1"/>
    <s v="Pós-Graduação"/>
    <s v="Agronegócio"/>
    <x v="2"/>
    <d v="1985-08-25T00:00:00"/>
    <x v="3"/>
    <x v="1"/>
    <n v="35.9"/>
    <n v="40"/>
    <x v="3"/>
  </r>
  <r>
    <n v="41038445189"/>
    <s v="Vanessa Costa"/>
    <x v="1"/>
    <s v="Ensino Médio"/>
    <s v="Política"/>
    <x v="1"/>
    <d v="1984-10-07T00:00:00"/>
    <x v="5"/>
    <x v="3"/>
    <n v="79.900000000000006"/>
    <n v="41"/>
    <x v="3"/>
  </r>
  <r>
    <n v="41107442085"/>
    <s v="Diego Ramirez"/>
    <x v="0"/>
    <s v="Doutorado"/>
    <s v="Negócios"/>
    <x v="0"/>
    <d v="1963-05-08T00:00:00"/>
    <x v="4"/>
    <x v="2"/>
    <n v="9.9"/>
    <n v="62"/>
    <x v="0"/>
  </r>
  <r>
    <n v="41158621693"/>
    <s v="Pedro Martins"/>
    <x v="0"/>
    <s v="Ensino Médio"/>
    <s v="Finanças"/>
    <x v="1"/>
    <d v="1979-09-20T00:00:00"/>
    <x v="3"/>
    <x v="0"/>
    <n v="29.9"/>
    <n v="46"/>
    <x v="2"/>
  </r>
  <r>
    <n v="41215776974"/>
    <s v="Noah Jones"/>
    <x v="0"/>
    <s v="Superior"/>
    <s v="Finanças"/>
    <x v="0"/>
    <d v="1975-12-04T00:00:00"/>
    <x v="0"/>
    <x v="0"/>
    <n v="29.9"/>
    <n v="50"/>
    <x v="2"/>
  </r>
  <r>
    <n v="41339088783"/>
    <s v="Arturo Leon"/>
    <x v="0"/>
    <s v="Pós-Graduação"/>
    <s v="Agronegócio"/>
    <x v="1"/>
    <d v="1968-11-08T00:00:00"/>
    <x v="0"/>
    <x v="2"/>
    <n v="9.9"/>
    <n v="57"/>
    <x v="0"/>
  </r>
  <r>
    <n v="41353457861"/>
    <s v="Fernanda Roman"/>
    <x v="1"/>
    <s v="Pós-Graduação"/>
    <s v="Negócios"/>
    <x v="0"/>
    <d v="1994-08-06T00:00:00"/>
    <x v="0"/>
    <x v="0"/>
    <n v="29.9"/>
    <n v="31"/>
    <x v="1"/>
  </r>
  <r>
    <n v="41369590305"/>
    <s v="Emerson Martins"/>
    <x v="0"/>
    <s v="Ensino Médio"/>
    <s v="Agronegócio"/>
    <x v="0"/>
    <d v="1974-06-21T00:00:00"/>
    <x v="0"/>
    <x v="3"/>
    <n v="79.900000000000006"/>
    <n v="51"/>
    <x v="2"/>
  </r>
  <r>
    <n v="41395444838"/>
    <s v="Pedro Costa"/>
    <x v="0"/>
    <s v="Ensino Médio"/>
    <s v="Negócios"/>
    <x v="0"/>
    <d v="1956-09-22T00:00:00"/>
    <x v="0"/>
    <x v="0"/>
    <n v="29.9"/>
    <n v="69"/>
    <x v="0"/>
  </r>
  <r>
    <n v="41472299450"/>
    <s v="Avery Roberts"/>
    <x v="1"/>
    <s v="Mestrado"/>
    <s v="Negócios"/>
    <x v="2"/>
    <d v="1989-03-15T00:00:00"/>
    <x v="0"/>
    <x v="0"/>
    <n v="29.9"/>
    <n v="36"/>
    <x v="3"/>
  </r>
  <r>
    <n v="41524354226"/>
    <s v="Juliana de Souza Oliveira"/>
    <x v="1"/>
    <s v="Superior"/>
    <s v="Negócios"/>
    <x v="1"/>
    <d v="1978-06-29T00:00:00"/>
    <x v="0"/>
    <x v="2"/>
    <n v="9.9"/>
    <n v="47"/>
    <x v="2"/>
  </r>
  <r>
    <n v="41632449755"/>
    <s v="Emma Cruz"/>
    <x v="1"/>
    <s v="Superior"/>
    <s v="Esportes"/>
    <x v="0"/>
    <d v="1975-05-17T00:00:00"/>
    <x v="0"/>
    <x v="0"/>
    <n v="29.9"/>
    <n v="50"/>
    <x v="2"/>
  </r>
  <r>
    <n v="41701732128"/>
    <s v="Vilma Almeida"/>
    <x v="1"/>
    <s v="Superior"/>
    <s v="Negócios"/>
    <x v="0"/>
    <d v="1993-08-13T00:00:00"/>
    <x v="0"/>
    <x v="2"/>
    <n v="9.9"/>
    <n v="32"/>
    <x v="1"/>
  </r>
  <r>
    <n v="41731968364"/>
    <s v="Felipe Alves Pereira"/>
    <x v="0"/>
    <s v="Superior"/>
    <s v="Economia"/>
    <x v="0"/>
    <d v="1969-08-04T00:00:00"/>
    <x v="1"/>
    <x v="0"/>
    <n v="29.9"/>
    <n v="56"/>
    <x v="0"/>
  </r>
  <r>
    <n v="41775805487"/>
    <s v="Mario Aguilar"/>
    <x v="0"/>
    <s v="Ensino Médio"/>
    <s v="Negócios"/>
    <x v="1"/>
    <d v="1981-12-26T00:00:00"/>
    <x v="2"/>
    <x v="3"/>
    <n v="79.900000000000006"/>
    <n v="43"/>
    <x v="3"/>
  </r>
  <r>
    <n v="41826922437"/>
    <s v="Matthew Ward"/>
    <x v="0"/>
    <s v="Ensino Médio"/>
    <s v="Política"/>
    <x v="1"/>
    <d v="1977-06-19T00:00:00"/>
    <x v="3"/>
    <x v="3"/>
    <n v="79.900000000000006"/>
    <n v="48"/>
    <x v="2"/>
  </r>
  <r>
    <n v="41852635544"/>
    <s v="Victoria Murphy"/>
    <x v="1"/>
    <s v="Superior"/>
    <s v="Economia"/>
    <x v="2"/>
    <d v="1980-10-11T00:00:00"/>
    <x v="3"/>
    <x v="1"/>
    <n v="35.9"/>
    <n v="45"/>
    <x v="2"/>
  </r>
  <r>
    <n v="41877616889"/>
    <s v="Nathan Bennett"/>
    <x v="0"/>
    <s v="Ensino Médio"/>
    <s v="Negócios"/>
    <x v="1"/>
    <d v="1980-10-05T00:00:00"/>
    <x v="3"/>
    <x v="3"/>
    <n v="79.900000000000006"/>
    <n v="45"/>
    <x v="2"/>
  </r>
  <r>
    <n v="41899088127"/>
    <s v="Beatriz Castro Oliveira"/>
    <x v="1"/>
    <s v="Superior"/>
    <s v="Negócios"/>
    <x v="1"/>
    <d v="1990-05-20T00:00:00"/>
    <x v="3"/>
    <x v="3"/>
    <n v="79.900000000000006"/>
    <n v="35"/>
    <x v="3"/>
  </r>
  <r>
    <n v="41968341445"/>
    <s v="Alejandra Ortega"/>
    <x v="1"/>
    <s v="Ensino Médio"/>
    <s v="Negócios"/>
    <x v="0"/>
    <d v="1967-07-07T00:00:00"/>
    <x v="3"/>
    <x v="1"/>
    <n v="35.9"/>
    <n v="58"/>
    <x v="0"/>
  </r>
  <r>
    <n v="42013420174"/>
    <s v="Bernardo Oliveira"/>
    <x v="0"/>
    <s v="Pós-Graduação"/>
    <s v="Economia"/>
    <x v="1"/>
    <d v="1956-04-21T00:00:00"/>
    <x v="3"/>
    <x v="1"/>
    <n v="35.9"/>
    <n v="69"/>
    <x v="0"/>
  </r>
  <r>
    <n v="42084569981"/>
    <s v="Jackson Smith"/>
    <x v="0"/>
    <s v="Superior"/>
    <s v="Negócios"/>
    <x v="1"/>
    <d v="1981-07-10T00:00:00"/>
    <x v="4"/>
    <x v="1"/>
    <n v="35.9"/>
    <n v="44"/>
    <x v="2"/>
  </r>
  <r>
    <n v="42110059785"/>
    <s v="Bernardo Pereira"/>
    <x v="0"/>
    <s v="Ensino Médio"/>
    <s v="Negócios"/>
    <x v="0"/>
    <d v="1979-04-29T00:00:00"/>
    <x v="0"/>
    <x v="0"/>
    <n v="29.9"/>
    <n v="46"/>
    <x v="2"/>
  </r>
  <r>
    <n v="42155541132"/>
    <s v="Jorge Hernandez"/>
    <x v="0"/>
    <s v="Ensino Médio"/>
    <s v="Agronegócio"/>
    <x v="2"/>
    <d v="1962-12-22T00:00:00"/>
    <x v="0"/>
    <x v="3"/>
    <n v="79.900000000000006"/>
    <n v="62"/>
    <x v="0"/>
  </r>
  <r>
    <n v="42224635144"/>
    <s v="Lincoln Hughes"/>
    <x v="0"/>
    <s v="Pós-Graduação"/>
    <s v="Política"/>
    <x v="2"/>
    <d v="1961-04-23T00:00:00"/>
    <x v="0"/>
    <x v="3"/>
    <n v="79.900000000000006"/>
    <n v="64"/>
    <x v="0"/>
  </r>
  <r>
    <n v="42314907630"/>
    <s v="Benjamin Moore"/>
    <x v="0"/>
    <s v="Ensino Médio"/>
    <s v="Negócios"/>
    <x v="0"/>
    <d v="1986-05-19T00:00:00"/>
    <x v="0"/>
    <x v="0"/>
    <n v="29.9"/>
    <n v="39"/>
    <x v="3"/>
  </r>
  <r>
    <n v="42346270511"/>
    <s v="Paulo Lima"/>
    <x v="1"/>
    <s v="Ensino Médio"/>
    <s v="Economia"/>
    <x v="2"/>
    <d v="1982-10-30T00:00:00"/>
    <x v="0"/>
    <x v="0"/>
    <n v="29.9"/>
    <n v="43"/>
    <x v="3"/>
  </r>
  <r>
    <n v="42400046505"/>
    <s v="Bernardo Fernandes"/>
    <x v="0"/>
    <s v="Ensino Médio"/>
    <s v="Finanças"/>
    <x v="0"/>
    <d v="1976-08-13T00:00:00"/>
    <x v="5"/>
    <x v="0"/>
    <n v="29.9"/>
    <n v="49"/>
    <x v="2"/>
  </r>
  <r>
    <n v="42434329390"/>
    <s v="Nicholas Foster"/>
    <x v="0"/>
    <s v="Mestrado"/>
    <s v="Negócios"/>
    <x v="0"/>
    <d v="1965-11-12T00:00:00"/>
    <x v="1"/>
    <x v="2"/>
    <n v="9.9"/>
    <n v="60"/>
    <x v="0"/>
  </r>
  <r>
    <n v="42460611185"/>
    <s v="Vanessa Sosa"/>
    <x v="1"/>
    <s v="Ensino Médio"/>
    <s v="Finanças"/>
    <x v="0"/>
    <d v="1968-03-11T00:00:00"/>
    <x v="6"/>
    <x v="0"/>
    <n v="29.9"/>
    <n v="57"/>
    <x v="0"/>
  </r>
  <r>
    <n v="42658139379"/>
    <s v="Christian Bennett"/>
    <x v="0"/>
    <s v="Ensino Médio"/>
    <s v="Política"/>
    <x v="0"/>
    <d v="1989-09-19T00:00:00"/>
    <x v="2"/>
    <x v="3"/>
    <n v="79.900000000000006"/>
    <n v="36"/>
    <x v="3"/>
  </r>
  <r>
    <n v="42678380444"/>
    <s v="Samuel Nelson"/>
    <x v="0"/>
    <s v="Ensino Médio"/>
    <s v="Política"/>
    <x v="1"/>
    <d v="1977-07-03T00:00:00"/>
    <x v="7"/>
    <x v="3"/>
    <n v="79.900000000000006"/>
    <n v="48"/>
    <x v="2"/>
  </r>
  <r>
    <n v="42680912819"/>
    <s v="Chloe Coleman"/>
    <x v="1"/>
    <s v="Superior"/>
    <s v="Agronegócio"/>
    <x v="0"/>
    <d v="1975-03-04T00:00:00"/>
    <x v="5"/>
    <x v="1"/>
    <n v="35.9"/>
    <n v="50"/>
    <x v="2"/>
  </r>
  <r>
    <n v="42735692164"/>
    <s v="Fernando Ferreira"/>
    <x v="0"/>
    <s v="Pós-Graduação"/>
    <s v="Economia"/>
    <x v="1"/>
    <d v="1994-12-31T00:00:00"/>
    <x v="4"/>
    <x v="2"/>
    <n v="9.9"/>
    <n v="30"/>
    <x v="1"/>
  </r>
  <r>
    <n v="42745218846"/>
    <s v="William Costa"/>
    <x v="0"/>
    <s v="Superior"/>
    <s v="Economia"/>
    <x v="2"/>
    <d v="1978-09-05T00:00:00"/>
    <x v="3"/>
    <x v="1"/>
    <n v="35.9"/>
    <n v="47"/>
    <x v="2"/>
  </r>
  <r>
    <n v="42808465160"/>
    <s v="Rafael Fernandes"/>
    <x v="0"/>
    <s v="Superior"/>
    <s v="Economia"/>
    <x v="0"/>
    <d v="1971-09-10T00:00:00"/>
    <x v="5"/>
    <x v="1"/>
    <n v="35.9"/>
    <n v="54"/>
    <x v="0"/>
  </r>
  <r>
    <n v="42864213763"/>
    <s v="Ellie Hayes"/>
    <x v="1"/>
    <s v="Superior"/>
    <s v="Economia"/>
    <x v="2"/>
    <d v="1988-11-19T00:00:00"/>
    <x v="4"/>
    <x v="2"/>
    <n v="9.9"/>
    <n v="37"/>
    <x v="3"/>
  </r>
  <r>
    <n v="42955842741"/>
    <s v="Skylar Turner"/>
    <x v="1"/>
    <s v="Mestrado"/>
    <s v="Esportes"/>
    <x v="2"/>
    <d v="1972-12-20T00:00:00"/>
    <x v="3"/>
    <x v="2"/>
    <n v="9.9"/>
    <n v="52"/>
    <x v="2"/>
  </r>
  <r>
    <n v="42981421778"/>
    <s v="Connor Wood"/>
    <x v="1"/>
    <s v="Ensino Médio"/>
    <s v="Finanças"/>
    <x v="1"/>
    <d v="1989-02-24T00:00:00"/>
    <x v="0"/>
    <x v="0"/>
    <n v="29.9"/>
    <n v="36"/>
    <x v="3"/>
  </r>
  <r>
    <n v="43001444003"/>
    <s v="Emerson Gomes"/>
    <x v="0"/>
    <s v="Superior"/>
    <s v="Negócios"/>
    <x v="1"/>
    <d v="1969-08-29T00:00:00"/>
    <x v="0"/>
    <x v="0"/>
    <n v="29.9"/>
    <n v="56"/>
    <x v="0"/>
  </r>
  <r>
    <n v="43008928497"/>
    <s v="Zachary Simmons"/>
    <x v="0"/>
    <s v="Ensino Médio"/>
    <s v="Negócios"/>
    <x v="1"/>
    <d v="1987-11-16T00:00:00"/>
    <x v="0"/>
    <x v="2"/>
    <n v="9.9"/>
    <n v="38"/>
    <x v="3"/>
  </r>
  <r>
    <n v="43118591455"/>
    <s v="Eli Parker"/>
    <x v="0"/>
    <s v="Superior"/>
    <s v="Negócios"/>
    <x v="1"/>
    <d v="1968-06-25T00:00:00"/>
    <x v="0"/>
    <x v="3"/>
    <n v="79.900000000000006"/>
    <n v="57"/>
    <x v="0"/>
  </r>
  <r>
    <n v="43245355006"/>
    <s v="Bruno Rodrigues"/>
    <x v="0"/>
    <s v="Ensino Médio"/>
    <s v="Negócios"/>
    <x v="0"/>
    <d v="1994-07-24T00:00:00"/>
    <x v="0"/>
    <x v="1"/>
    <n v="35.9"/>
    <n v="31"/>
    <x v="1"/>
  </r>
  <r>
    <n v="43251240742"/>
    <s v="Rita Costa"/>
    <x v="1"/>
    <s v="Ensino Médio"/>
    <s v="Economia"/>
    <x v="0"/>
    <d v="1974-09-13T00:00:00"/>
    <x v="0"/>
    <x v="2"/>
    <n v="9.9"/>
    <n v="51"/>
    <x v="2"/>
  </r>
  <r>
    <n v="43251978310"/>
    <s v="Serenity Morris"/>
    <x v="0"/>
    <s v="Superior"/>
    <s v="Economia"/>
    <x v="0"/>
    <d v="1975-03-13T00:00:00"/>
    <x v="0"/>
    <x v="1"/>
    <n v="35.9"/>
    <n v="50"/>
    <x v="2"/>
  </r>
  <r>
    <n v="43308815311"/>
    <s v="Amanda Oliveira"/>
    <x v="1"/>
    <s v="Doutorado"/>
    <s v="Negócios"/>
    <x v="0"/>
    <d v="1961-08-24T00:00:00"/>
    <x v="0"/>
    <x v="2"/>
    <n v="9.9"/>
    <n v="64"/>
    <x v="0"/>
  </r>
  <r>
    <n v="43329901726"/>
    <s v="Rodrigo Torres"/>
    <x v="0"/>
    <s v="Ensino Médio"/>
    <s v="Economia"/>
    <x v="0"/>
    <d v="1967-03-06T00:00:00"/>
    <x v="0"/>
    <x v="2"/>
    <n v="9.9"/>
    <n v="58"/>
    <x v="0"/>
  </r>
  <r>
    <n v="43349394419"/>
    <s v="Mia Thomas"/>
    <x v="1"/>
    <s v="Superior"/>
    <s v="Negócios"/>
    <x v="0"/>
    <d v="1959-10-01T00:00:00"/>
    <x v="1"/>
    <x v="0"/>
    <n v="29.9"/>
    <n v="66"/>
    <x v="0"/>
  </r>
  <r>
    <n v="43353453212"/>
    <s v="Valeria Pena"/>
    <x v="1"/>
    <s v="Superior"/>
    <s v="Finanças"/>
    <x v="1"/>
    <d v="1960-02-24T00:00:00"/>
    <x v="2"/>
    <x v="2"/>
    <n v="9.9"/>
    <n v="65"/>
    <x v="0"/>
  </r>
  <r>
    <n v="43449469621"/>
    <s v="William Oliveira"/>
    <x v="0"/>
    <s v="Superior"/>
    <s v="Finanças"/>
    <x v="1"/>
    <d v="1970-06-04T00:00:00"/>
    <x v="3"/>
    <x v="0"/>
    <n v="29.9"/>
    <n v="55"/>
    <x v="0"/>
  </r>
  <r>
    <n v="43512417125"/>
    <s v="Patrícia Costa"/>
    <x v="1"/>
    <s v="Superior"/>
    <s v="Negócios"/>
    <x v="0"/>
    <d v="1972-01-02T00:00:00"/>
    <x v="3"/>
    <x v="0"/>
    <n v="29.9"/>
    <n v="53"/>
    <x v="2"/>
  </r>
  <r>
    <n v="43690634952"/>
    <s v="Vilma Silva"/>
    <x v="1"/>
    <s v="Pós-Graduação"/>
    <s v="Negócios"/>
    <x v="0"/>
    <d v="1957-06-07T00:00:00"/>
    <x v="3"/>
    <x v="0"/>
    <n v="29.9"/>
    <n v="68"/>
    <x v="0"/>
  </r>
  <r>
    <n v="43739297869"/>
    <s v="Rodrigo Oliveira Mendes"/>
    <x v="0"/>
    <s v="Superior"/>
    <s v="Economia"/>
    <x v="2"/>
    <d v="1993-09-26T00:00:00"/>
    <x v="3"/>
    <x v="2"/>
    <n v="9.9"/>
    <n v="32"/>
    <x v="1"/>
  </r>
  <r>
    <n v="43743382226"/>
    <s v="Natalia Jimenez"/>
    <x v="1"/>
    <s v="Ensino Médio"/>
    <s v="Economia"/>
    <x v="0"/>
    <d v="1990-07-28T00:00:00"/>
    <x v="3"/>
    <x v="0"/>
    <n v="29.9"/>
    <n v="35"/>
    <x v="3"/>
  </r>
  <r>
    <n v="43809437545"/>
    <s v="Claire Long"/>
    <x v="1"/>
    <s v="Ensino Médio"/>
    <s v="Economia"/>
    <x v="0"/>
    <d v="1973-03-24T00:00:00"/>
    <x v="3"/>
    <x v="1"/>
    <n v="35.9"/>
    <n v="52"/>
    <x v="2"/>
  </r>
  <r>
    <n v="43862516707"/>
    <s v="Abigail Clark"/>
    <x v="0"/>
    <s v="Ensino Médio"/>
    <s v="Agronegócio"/>
    <x v="0"/>
    <d v="1969-07-20T00:00:00"/>
    <x v="4"/>
    <x v="2"/>
    <n v="9.9"/>
    <n v="56"/>
    <x v="0"/>
  </r>
  <r>
    <n v="43865627349"/>
    <s v="Carolina Lima"/>
    <x v="1"/>
    <s v="Ensino Médio"/>
    <s v="Negócios"/>
    <x v="1"/>
    <d v="1981-10-16T00:00:00"/>
    <x v="0"/>
    <x v="2"/>
    <n v="9.9"/>
    <n v="44"/>
    <x v="2"/>
  </r>
  <r>
    <n v="43955177890"/>
    <s v="Renata Martins"/>
    <x v="1"/>
    <s v="Superior"/>
    <s v="Economia"/>
    <x v="0"/>
    <d v="1975-06-20T00:00:00"/>
    <x v="0"/>
    <x v="2"/>
    <n v="9.9"/>
    <n v="50"/>
    <x v="2"/>
  </r>
  <r>
    <n v="43990474257"/>
    <s v="Bruno Almeida"/>
    <x v="0"/>
    <s v="Pós-Graduação"/>
    <s v="Economia"/>
    <x v="2"/>
    <d v="1978-09-17T00:00:00"/>
    <x v="0"/>
    <x v="0"/>
    <n v="29.9"/>
    <n v="47"/>
    <x v="2"/>
  </r>
  <r>
    <n v="44079062916"/>
    <s v="Ruby Perry"/>
    <x v="0"/>
    <s v="Pós-Graduação"/>
    <s v="Esportes"/>
    <x v="0"/>
    <d v="1984-05-14T00:00:00"/>
    <x v="0"/>
    <x v="0"/>
    <n v="29.9"/>
    <n v="41"/>
    <x v="3"/>
  </r>
  <r>
    <n v="44113863787"/>
    <s v="Paula Rojas"/>
    <x v="1"/>
    <s v="Superior"/>
    <s v="Agronegócio"/>
    <x v="2"/>
    <d v="1971-03-29T00:00:00"/>
    <x v="0"/>
    <x v="3"/>
    <n v="79.900000000000006"/>
    <n v="54"/>
    <x v="0"/>
  </r>
  <r>
    <n v="44133248813"/>
    <s v="Rafael Oliveira"/>
    <x v="0"/>
    <s v="Superior"/>
    <s v="Negócios"/>
    <x v="1"/>
    <d v="1987-03-15T00:00:00"/>
    <x v="5"/>
    <x v="1"/>
    <n v="35.9"/>
    <n v="38"/>
    <x v="3"/>
  </r>
  <r>
    <n v="44417946805"/>
    <s v="Rylee Fisher"/>
    <x v="0"/>
    <s v="Superior"/>
    <s v="Agronegócio"/>
    <x v="2"/>
    <d v="1977-02-21T00:00:00"/>
    <x v="1"/>
    <x v="1"/>
    <n v="35.9"/>
    <n v="48"/>
    <x v="2"/>
  </r>
  <r>
    <n v="44517150220"/>
    <s v="Carolina Gomes"/>
    <x v="1"/>
    <s v="Ensino Médio"/>
    <s v="Negócios"/>
    <x v="1"/>
    <d v="1990-05-01T00:00:00"/>
    <x v="6"/>
    <x v="3"/>
    <n v="79.900000000000006"/>
    <n v="35"/>
    <x v="3"/>
  </r>
  <r>
    <n v="44641671343"/>
    <s v="Dominic Murphy"/>
    <x v="0"/>
    <s v="Superior"/>
    <s v="Finanças"/>
    <x v="1"/>
    <d v="1975-06-04T00:00:00"/>
    <x v="2"/>
    <x v="2"/>
    <n v="9.9"/>
    <n v="50"/>
    <x v="2"/>
  </r>
  <r>
    <n v="44675229890"/>
    <s v="Mariana Souza Oliveira"/>
    <x v="1"/>
    <s v="Pós-Graduação"/>
    <s v="Política"/>
    <x v="2"/>
    <d v="1985-09-18T00:00:00"/>
    <x v="7"/>
    <x v="3"/>
    <n v="79.900000000000006"/>
    <n v="40"/>
    <x v="3"/>
  </r>
  <r>
    <n v="44780102027"/>
    <s v="Ana Karen Pacheco"/>
    <x v="1"/>
    <s v="Mestrado"/>
    <s v="Negócios"/>
    <x v="1"/>
    <d v="1987-12-12T00:00:00"/>
    <x v="5"/>
    <x v="2"/>
    <n v="9.9"/>
    <n v="38"/>
    <x v="3"/>
  </r>
  <r>
    <n v="44780432801"/>
    <s v="Mariana Velazquez"/>
    <x v="1"/>
    <s v="Superior"/>
    <s v="Política"/>
    <x v="1"/>
    <d v="1992-03-09T00:00:00"/>
    <x v="4"/>
    <x v="3"/>
    <n v="79.900000000000006"/>
    <n v="33"/>
    <x v="1"/>
  </r>
  <r>
    <n v="44873409921"/>
    <s v="Mariana Gomes"/>
    <x v="1"/>
    <s v="Ensino Médio"/>
    <s v="Economia"/>
    <x v="1"/>
    <d v="1984-12-24T00:00:00"/>
    <x v="3"/>
    <x v="0"/>
    <n v="29.9"/>
    <n v="40"/>
    <x v="3"/>
  </r>
  <r>
    <n v="44968480072"/>
    <s v="Bruno Costa"/>
    <x v="0"/>
    <s v="Superior"/>
    <s v="Economia"/>
    <x v="2"/>
    <d v="1982-11-24T00:00:00"/>
    <x v="5"/>
    <x v="0"/>
    <n v="29.9"/>
    <n v="43"/>
    <x v="3"/>
  </r>
  <r>
    <n v="45034419141"/>
    <s v="Maria Santos"/>
    <x v="1"/>
    <s v="Ensino Médio"/>
    <s v="Política"/>
    <x v="0"/>
    <d v="1961-08-12T00:00:00"/>
    <x v="4"/>
    <x v="3"/>
    <n v="79.900000000000006"/>
    <n v="64"/>
    <x v="0"/>
  </r>
  <r>
    <n v="45125322860"/>
    <s v="William Pereira"/>
    <x v="0"/>
    <s v="Superior"/>
    <s v="Finanças"/>
    <x v="1"/>
    <d v="1986-05-20T00:00:00"/>
    <x v="3"/>
    <x v="2"/>
    <n v="9.9"/>
    <n v="39"/>
    <x v="3"/>
  </r>
  <r>
    <n v="45190223661"/>
    <s v="Vanessa Sosa"/>
    <x v="1"/>
    <s v="Ensino Médio"/>
    <s v="Finanças"/>
    <x v="0"/>
    <d v="1967-07-04T00:00:00"/>
    <x v="0"/>
    <x v="0"/>
    <n v="29.9"/>
    <n v="58"/>
    <x v="0"/>
  </r>
  <r>
    <n v="45305541903"/>
    <s v="Emerson Pereira"/>
    <x v="0"/>
    <s v="Ensino Médio"/>
    <s v="Política"/>
    <x v="0"/>
    <d v="1966-10-02T00:00:00"/>
    <x v="0"/>
    <x v="3"/>
    <n v="79.900000000000006"/>
    <n v="59"/>
    <x v="0"/>
  </r>
  <r>
    <n v="45344898195"/>
    <s v="Mario Aguilar"/>
    <x v="0"/>
    <s v="Ensino Médio"/>
    <s v="Negócios"/>
    <x v="1"/>
    <d v="1993-09-03T00:00:00"/>
    <x v="0"/>
    <x v="3"/>
    <n v="79.900000000000006"/>
    <n v="32"/>
    <x v="1"/>
  </r>
  <r>
    <n v="45398267634"/>
    <s v="Gabriella Price"/>
    <x v="1"/>
    <s v="Superior"/>
    <s v="Agronegócio"/>
    <x v="0"/>
    <d v="1994-01-04T00:00:00"/>
    <x v="0"/>
    <x v="2"/>
    <n v="9.9"/>
    <n v="31"/>
    <x v="1"/>
  </r>
  <r>
    <n v="45551104001"/>
    <s v="Eduardo Nunez"/>
    <x v="0"/>
    <s v="Superior"/>
    <s v="Negócios"/>
    <x v="1"/>
    <d v="1959-03-06T00:00:00"/>
    <x v="0"/>
    <x v="2"/>
    <n v="9.9"/>
    <n v="66"/>
    <x v="0"/>
  </r>
  <r>
    <n v="45591421429"/>
    <s v="Oscar Cisneros"/>
    <x v="0"/>
    <s v="Pós-Graduação"/>
    <s v="Política"/>
    <x v="2"/>
    <d v="1981-11-16T00:00:00"/>
    <x v="0"/>
    <x v="3"/>
    <n v="79.900000000000006"/>
    <n v="44"/>
    <x v="2"/>
  </r>
  <r>
    <n v="45665433109"/>
    <s v="Gabriel Lima Almeida"/>
    <x v="0"/>
    <s v="Superior"/>
    <s v="Agronegócio"/>
    <x v="2"/>
    <d v="1980-10-05T00:00:00"/>
    <x v="0"/>
    <x v="2"/>
    <n v="9.9"/>
    <n v="45"/>
    <x v="2"/>
  </r>
  <r>
    <n v="45682920544"/>
    <s v="Charlotte Robinson"/>
    <x v="1"/>
    <s v="Superior"/>
    <s v="Economia"/>
    <x v="2"/>
    <d v="1989-06-20T00:00:00"/>
    <x v="0"/>
    <x v="1"/>
    <n v="35.9"/>
    <n v="36"/>
    <x v="3"/>
  </r>
  <r>
    <n v="45709208362"/>
    <s v="Sandra Silva"/>
    <x v="1"/>
    <s v="Pós-Graduação"/>
    <s v="Economia"/>
    <x v="0"/>
    <d v="1961-12-16T00:00:00"/>
    <x v="0"/>
    <x v="2"/>
    <n v="9.9"/>
    <n v="64"/>
    <x v="0"/>
  </r>
  <r>
    <n v="45881940290"/>
    <s v="Sandra Martins"/>
    <x v="1"/>
    <s v="Ensino Médio"/>
    <s v="Esportes"/>
    <x v="0"/>
    <d v="1987-12-31T00:00:00"/>
    <x v="1"/>
    <x v="2"/>
    <n v="9.9"/>
    <n v="37"/>
    <x v="3"/>
  </r>
  <r>
    <n v="45892038935"/>
    <s v="Camila Torres"/>
    <x v="1"/>
    <s v="Superior"/>
    <s v="Economia"/>
    <x v="0"/>
    <d v="1982-01-24T00:00:00"/>
    <x v="2"/>
    <x v="1"/>
    <n v="35.9"/>
    <n v="43"/>
    <x v="3"/>
  </r>
  <r>
    <n v="45953823152"/>
    <s v="Vilma Costa"/>
    <x v="1"/>
    <s v="Ensino Médio"/>
    <s v="Economia"/>
    <x v="0"/>
    <d v="1963-05-29T00:00:00"/>
    <x v="3"/>
    <x v="1"/>
    <n v="35.9"/>
    <n v="62"/>
    <x v="0"/>
  </r>
  <r>
    <n v="45961352404"/>
    <s v="Juan Carlos Espinoza"/>
    <x v="0"/>
    <s v="Ensino Médio"/>
    <s v="Esportes"/>
    <x v="0"/>
    <d v="1984-03-29T00:00:00"/>
    <x v="3"/>
    <x v="0"/>
    <n v="29.9"/>
    <n v="41"/>
    <x v="3"/>
  </r>
  <r>
    <n v="46126747412"/>
    <s v="Renata Silva"/>
    <x v="1"/>
    <s v="Pós-Graduação"/>
    <s v="Esportes"/>
    <x v="0"/>
    <d v="1962-06-30T00:00:00"/>
    <x v="3"/>
    <x v="2"/>
    <n v="9.9"/>
    <n v="63"/>
    <x v="0"/>
  </r>
  <r>
    <n v="46157189382"/>
    <s v="Eli Parker"/>
    <x v="0"/>
    <s v="Superior"/>
    <s v="Negócios"/>
    <x v="1"/>
    <d v="1970-11-04T00:00:00"/>
    <x v="3"/>
    <x v="3"/>
    <n v="79.900000000000006"/>
    <n v="55"/>
    <x v="0"/>
  </r>
  <r>
    <n v="46205324892"/>
    <s v="Isabela Martins"/>
    <x v="1"/>
    <s v="Pós-Graduação"/>
    <s v="Economia"/>
    <x v="2"/>
    <d v="1968-09-18T00:00:00"/>
    <x v="3"/>
    <x v="0"/>
    <n v="29.9"/>
    <n v="57"/>
    <x v="0"/>
  </r>
  <r>
    <n v="46222211142"/>
    <s v="Jorge Hernandez"/>
    <x v="0"/>
    <s v="Ensino Médio"/>
    <s v="Agronegócio"/>
    <x v="2"/>
    <d v="1958-01-28T00:00:00"/>
    <x v="3"/>
    <x v="3"/>
    <n v="79.900000000000006"/>
    <n v="67"/>
    <x v="0"/>
  </r>
  <r>
    <n v="46344330480"/>
    <s v="Roberto Fuentes"/>
    <x v="0"/>
    <s v="Mestrado"/>
    <s v="Negócios"/>
    <x v="0"/>
    <d v="1993-04-24T00:00:00"/>
    <x v="4"/>
    <x v="2"/>
    <n v="9.9"/>
    <n v="32"/>
    <x v="1"/>
  </r>
  <r>
    <n v="46353055602"/>
    <s v="Emilio Sandoval"/>
    <x v="0"/>
    <s v="Superior"/>
    <s v="Economia"/>
    <x v="2"/>
    <d v="1962-06-18T00:00:00"/>
    <x v="0"/>
    <x v="1"/>
    <n v="35.9"/>
    <n v="63"/>
    <x v="0"/>
  </r>
  <r>
    <n v="46354255833"/>
    <s v="Fernanda Roman"/>
    <x v="1"/>
    <s v="Pós-Graduação"/>
    <s v="Negócios"/>
    <x v="0"/>
    <d v="1972-02-11T00:00:00"/>
    <x v="0"/>
    <x v="0"/>
    <n v="29.9"/>
    <n v="53"/>
    <x v="2"/>
  </r>
  <r>
    <n v="46370856674"/>
    <s v="Valentina Rodriguez"/>
    <x v="1"/>
    <s v="Pós-Graduação"/>
    <s v="Agronegócio"/>
    <x v="0"/>
    <d v="1973-02-15T00:00:00"/>
    <x v="0"/>
    <x v="3"/>
    <n v="79.900000000000006"/>
    <n v="52"/>
    <x v="2"/>
  </r>
  <r>
    <n v="46447828715"/>
    <s v="Miguel Angel Gonzalez"/>
    <x v="0"/>
    <s v="Superior"/>
    <s v="Economia"/>
    <x v="0"/>
    <d v="1985-11-20T00:00:00"/>
    <x v="0"/>
    <x v="0"/>
    <n v="29.9"/>
    <n v="40"/>
    <x v="3"/>
  </r>
  <r>
    <n v="46483232083"/>
    <s v="Alejandro Mendoza"/>
    <x v="0"/>
    <s v="Superior"/>
    <s v="Economia"/>
    <x v="0"/>
    <d v="1969-02-19T00:00:00"/>
    <x v="0"/>
    <x v="1"/>
    <n v="35.9"/>
    <n v="56"/>
    <x v="0"/>
  </r>
  <r>
    <n v="46533166609"/>
    <s v="Maya Watson"/>
    <x v="0"/>
    <s v="Superior"/>
    <s v="Agronegócio"/>
    <x v="2"/>
    <d v="1992-06-10T00:00:00"/>
    <x v="5"/>
    <x v="2"/>
    <n v="9.9"/>
    <n v="33"/>
    <x v="1"/>
  </r>
  <r>
    <n v="46593413625"/>
    <s v="Isabela Carvalho"/>
    <x v="1"/>
    <s v="Superior"/>
    <s v="Política"/>
    <x v="1"/>
    <d v="1986-03-07T00:00:00"/>
    <x v="1"/>
    <x v="3"/>
    <n v="79.900000000000006"/>
    <n v="39"/>
    <x v="3"/>
  </r>
  <r>
    <n v="46610379858"/>
    <s v="Pedro Fernandes"/>
    <x v="0"/>
    <s v="Superior"/>
    <s v="Economia"/>
    <x v="0"/>
    <d v="1962-10-13T00:00:00"/>
    <x v="6"/>
    <x v="2"/>
    <n v="9.9"/>
    <n v="63"/>
    <x v="0"/>
  </r>
  <r>
    <n v="46621773048"/>
    <s v="Arturo Leon"/>
    <x v="0"/>
    <s v="Pós-Graduação"/>
    <s v="Agronegócio"/>
    <x v="1"/>
    <d v="1964-11-28T00:00:00"/>
    <x v="2"/>
    <x v="2"/>
    <n v="9.9"/>
    <n v="61"/>
    <x v="0"/>
  </r>
  <r>
    <n v="46741073132"/>
    <s v="Oscar Ruiz"/>
    <x v="0"/>
    <s v="Pós-Graduação"/>
    <s v="Esportes"/>
    <x v="0"/>
    <d v="1978-09-16T00:00:00"/>
    <x v="7"/>
    <x v="2"/>
    <n v="9.9"/>
    <n v="47"/>
    <x v="2"/>
  </r>
  <r>
    <n v="46800162766"/>
    <s v="Camila Oliveira"/>
    <x v="1"/>
    <s v="Ensino Médio"/>
    <s v="Finanças"/>
    <x v="0"/>
    <d v="1981-05-02T00:00:00"/>
    <x v="5"/>
    <x v="0"/>
    <n v="29.9"/>
    <n v="44"/>
    <x v="2"/>
  </r>
  <r>
    <n v="46858118798"/>
    <s v="William Almeida"/>
    <x v="0"/>
    <s v="Pós-Graduação"/>
    <s v="Negócios"/>
    <x v="0"/>
    <d v="1956-10-13T00:00:00"/>
    <x v="4"/>
    <x v="2"/>
    <n v="9.9"/>
    <n v="69"/>
    <x v="0"/>
  </r>
  <r>
    <n v="46884175269"/>
    <s v="Marcelo Martins"/>
    <x v="0"/>
    <s v="Ensino Médio"/>
    <s v="Economia"/>
    <x v="1"/>
    <d v="1961-07-18T00:00:00"/>
    <x v="3"/>
    <x v="0"/>
    <n v="29.9"/>
    <n v="64"/>
    <x v="0"/>
  </r>
  <r>
    <n v="47005649054"/>
    <s v="Elena Morales"/>
    <x v="1"/>
    <s v="Pós-Graduação"/>
    <s v="Economia"/>
    <x v="2"/>
    <d v="1978-12-18T00:00:00"/>
    <x v="5"/>
    <x v="1"/>
    <n v="35.9"/>
    <n v="46"/>
    <x v="2"/>
  </r>
  <r>
    <n v="47007221276"/>
    <s v="Felipe Alves"/>
    <x v="0"/>
    <s v="Pós-Graduação"/>
    <s v="Economia"/>
    <x v="1"/>
    <d v="1971-10-18T00:00:00"/>
    <x v="4"/>
    <x v="1"/>
    <n v="35.9"/>
    <n v="54"/>
    <x v="0"/>
  </r>
  <r>
    <n v="47042599063"/>
    <s v="Pedro Oliveira"/>
    <x v="0"/>
    <s v="Pós-Graduação"/>
    <s v="Política"/>
    <x v="2"/>
    <d v="1992-11-08T00:00:00"/>
    <x v="3"/>
    <x v="3"/>
    <n v="79.900000000000006"/>
    <n v="33"/>
    <x v="1"/>
  </r>
  <r>
    <n v="47042740325"/>
    <s v="Levi Sanders"/>
    <x v="1"/>
    <s v="Pós-Graduação"/>
    <s v="Finanças"/>
    <x v="0"/>
    <d v="1987-02-22T00:00:00"/>
    <x v="0"/>
    <x v="0"/>
    <n v="29.9"/>
    <n v="38"/>
    <x v="3"/>
  </r>
  <r>
    <n v="47129833052"/>
    <s v="Zachary Simmons"/>
    <x v="0"/>
    <s v="Ensino Médio"/>
    <s v="Negócios"/>
    <x v="1"/>
    <d v="1967-09-09T00:00:00"/>
    <x v="0"/>
    <x v="2"/>
    <n v="9.9"/>
    <n v="58"/>
    <x v="0"/>
  </r>
  <r>
    <n v="47153877700"/>
    <s v="Vilma Martins"/>
    <x v="1"/>
    <s v="Superior"/>
    <s v="Economia"/>
    <x v="0"/>
    <d v="1978-10-09T00:00:00"/>
    <x v="0"/>
    <x v="1"/>
    <n v="35.9"/>
    <n v="47"/>
    <x v="2"/>
  </r>
  <r>
    <n v="47174082747"/>
    <s v="Rafael Rodrigues"/>
    <x v="0"/>
    <s v="Doutorado"/>
    <s v="Finanças"/>
    <x v="0"/>
    <d v="1992-11-02T00:00:00"/>
    <x v="0"/>
    <x v="0"/>
    <n v="29.9"/>
    <n v="33"/>
    <x v="1"/>
  </r>
  <r>
    <n v="47188953731"/>
    <s v="Vilma Martins"/>
    <x v="1"/>
    <s v="Superior"/>
    <s v="Economia"/>
    <x v="0"/>
    <d v="1980-08-01T00:00:00"/>
    <x v="0"/>
    <x v="1"/>
    <n v="35.9"/>
    <n v="45"/>
    <x v="2"/>
  </r>
  <r>
    <n v="47208400662"/>
    <s v="Emerson Costa"/>
    <x v="0"/>
    <s v="Mestrado"/>
    <s v="Esportes"/>
    <x v="2"/>
    <d v="1978-02-28T00:00:00"/>
    <x v="0"/>
    <x v="2"/>
    <n v="9.9"/>
    <n v="47"/>
    <x v="2"/>
  </r>
  <r>
    <n v="47245946960"/>
    <s v="Bruno Pereira"/>
    <x v="0"/>
    <s v="Pós-Graduação"/>
    <s v="Agronegócio"/>
    <x v="1"/>
    <d v="1980-05-11T00:00:00"/>
    <x v="0"/>
    <x v="2"/>
    <n v="9.9"/>
    <n v="45"/>
    <x v="2"/>
  </r>
  <r>
    <n v="47365199226"/>
    <s v="Daniel Baker"/>
    <x v="0"/>
    <s v="Pós-Graduação"/>
    <s v="Negócios"/>
    <x v="2"/>
    <d v="1988-05-12T00:00:00"/>
    <x v="0"/>
    <x v="3"/>
    <n v="79.900000000000006"/>
    <n v="37"/>
    <x v="3"/>
  </r>
  <r>
    <n v="47372471507"/>
    <s v="Stella Ross"/>
    <x v="1"/>
    <s v="Ensino Médio"/>
    <s v="Agronegócio"/>
    <x v="2"/>
    <d v="1959-06-25T00:00:00"/>
    <x v="0"/>
    <x v="3"/>
    <n v="79.900000000000006"/>
    <n v="66"/>
    <x v="0"/>
  </r>
  <r>
    <n v="47393301586"/>
    <s v="Marcelo Pereira"/>
    <x v="0"/>
    <s v="Superior"/>
    <s v="Economia"/>
    <x v="2"/>
    <d v="1993-12-24T00:00:00"/>
    <x v="1"/>
    <x v="2"/>
    <n v="9.9"/>
    <n v="31"/>
    <x v="1"/>
  </r>
  <r>
    <n v="47497279533"/>
    <s v="Pedro Silva"/>
    <x v="0"/>
    <s v="Superior"/>
    <s v="Agronegócio"/>
    <x v="0"/>
    <d v="1985-05-08T00:00:00"/>
    <x v="2"/>
    <x v="3"/>
    <n v="79.900000000000006"/>
    <n v="40"/>
    <x v="3"/>
  </r>
  <r>
    <n v="47514609560"/>
    <s v="Manuel Jimenez"/>
    <x v="0"/>
    <s v="Superior"/>
    <s v="Negócios"/>
    <x v="1"/>
    <d v="1960-10-03T00:00:00"/>
    <x v="3"/>
    <x v="1"/>
    <n v="35.9"/>
    <n v="65"/>
    <x v="0"/>
  </r>
  <r>
    <n v="47564971365"/>
    <s v="Rafael Ferreira"/>
    <x v="0"/>
    <s v="Superior"/>
    <s v="Economia"/>
    <x v="2"/>
    <d v="1983-11-22T00:00:00"/>
    <x v="3"/>
    <x v="0"/>
    <n v="29.9"/>
    <n v="42"/>
    <x v="3"/>
  </r>
  <r>
    <n v="47725755906"/>
    <s v="Noah Jones"/>
    <x v="0"/>
    <s v="Superior"/>
    <s v="Finanças"/>
    <x v="0"/>
    <d v="1988-05-05T00:00:00"/>
    <x v="3"/>
    <x v="0"/>
    <n v="29.9"/>
    <n v="37"/>
    <x v="3"/>
  </r>
  <r>
    <n v="47745382527"/>
    <s v="Andrew Brooks"/>
    <x v="0"/>
    <s v="Superior"/>
    <s v="Negócios"/>
    <x v="0"/>
    <d v="1987-10-23T00:00:00"/>
    <x v="3"/>
    <x v="2"/>
    <n v="9.9"/>
    <n v="38"/>
    <x v="3"/>
  </r>
  <r>
    <n v="47840676137"/>
    <s v="Oscar Cisneros"/>
    <x v="0"/>
    <s v="Pós-Graduação"/>
    <s v="Política"/>
    <x v="2"/>
    <d v="1965-05-02T00:00:00"/>
    <x v="3"/>
    <x v="3"/>
    <n v="79.900000000000006"/>
    <n v="60"/>
    <x v="0"/>
  </r>
  <r>
    <n v="47885298863"/>
    <s v="Mariana Ortiz"/>
    <x v="1"/>
    <s v="Superior"/>
    <s v="Economia"/>
    <x v="2"/>
    <d v="1970-12-05T00:00:00"/>
    <x v="3"/>
    <x v="2"/>
    <n v="9.9"/>
    <n v="55"/>
    <x v="0"/>
  </r>
  <r>
    <n v="47922430248"/>
    <s v="Pedro Fernandes"/>
    <x v="0"/>
    <s v="Superior"/>
    <s v="Economia"/>
    <x v="0"/>
    <d v="1967-04-16T00:00:00"/>
    <x v="4"/>
    <x v="2"/>
    <n v="9.9"/>
    <n v="58"/>
    <x v="0"/>
  </r>
  <r>
    <n v="47979032104"/>
    <s v="Renata Gomes"/>
    <x v="1"/>
    <s v="Ensino Médio"/>
    <s v="Economia"/>
    <x v="1"/>
    <d v="1970-12-07T00:00:00"/>
    <x v="0"/>
    <x v="0"/>
    <n v="29.9"/>
    <n v="55"/>
    <x v="0"/>
  </r>
  <r>
    <n v="48007068927"/>
    <s v="Carmen Guzman"/>
    <x v="1"/>
    <s v="Pós-Graduação"/>
    <s v="Economia"/>
    <x v="1"/>
    <d v="1983-02-26T00:00:00"/>
    <x v="0"/>
    <x v="1"/>
    <n v="35.9"/>
    <n v="42"/>
    <x v="3"/>
  </r>
  <r>
    <n v="48217353343"/>
    <s v="Maria Fernanda Guerra"/>
    <x v="1"/>
    <s v="Mestrado"/>
    <s v="Negócios"/>
    <x v="0"/>
    <d v="1960-08-05T00:00:00"/>
    <x v="0"/>
    <x v="1"/>
    <n v="35.9"/>
    <n v="65"/>
    <x v="0"/>
  </r>
  <r>
    <n v="48338358825"/>
    <s v="Mariana Fernandes"/>
    <x v="1"/>
    <s v="Ensino Médio"/>
    <s v="Agronegócio"/>
    <x v="0"/>
    <d v="1989-03-11T00:00:00"/>
    <x v="0"/>
    <x v="2"/>
    <n v="9.9"/>
    <n v="36"/>
    <x v="3"/>
  </r>
  <r>
    <n v="48432971475"/>
    <s v="Beatriz Ramos"/>
    <x v="1"/>
    <s v="Mestrado"/>
    <s v="Finanças"/>
    <x v="0"/>
    <d v="1960-06-29T00:00:00"/>
    <x v="0"/>
    <x v="2"/>
    <n v="9.9"/>
    <n v="65"/>
    <x v="0"/>
  </r>
  <r>
    <n v="48460714260"/>
    <s v="Oliver Thompson"/>
    <x v="0"/>
    <s v="Superior"/>
    <s v="Negócios"/>
    <x v="1"/>
    <d v="1980-01-02T00:00:00"/>
    <x v="5"/>
    <x v="2"/>
    <n v="9.9"/>
    <n v="45"/>
    <x v="2"/>
  </r>
  <r>
    <n v="48465087625"/>
    <s v="Rafael Santos"/>
    <x v="0"/>
    <s v="Ensino Médio"/>
    <s v="Agronegócio"/>
    <x v="0"/>
    <d v="1990-10-02T00:00:00"/>
    <x v="1"/>
    <x v="1"/>
    <n v="35.9"/>
    <n v="35"/>
    <x v="3"/>
  </r>
  <r>
    <n v="48537217226"/>
    <s v="Marcos Barbosa"/>
    <x v="0"/>
    <s v="Superior"/>
    <s v="Agronegócio"/>
    <x v="2"/>
    <d v="1981-04-21T00:00:00"/>
    <x v="6"/>
    <x v="1"/>
    <n v="35.9"/>
    <n v="44"/>
    <x v="2"/>
  </r>
  <r>
    <n v="48554358741"/>
    <s v="Renata Martins"/>
    <x v="1"/>
    <s v="Superior"/>
    <s v="Economia"/>
    <x v="0"/>
    <d v="1967-02-11T00:00:00"/>
    <x v="2"/>
    <x v="2"/>
    <n v="9.9"/>
    <n v="58"/>
    <x v="0"/>
  </r>
  <r>
    <n v="48559982420"/>
    <s v="José Pereira"/>
    <x v="0"/>
    <s v="Superior"/>
    <s v="Economia"/>
    <x v="2"/>
    <d v="1965-01-27T00:00:00"/>
    <x v="7"/>
    <x v="2"/>
    <n v="9.9"/>
    <n v="60"/>
    <x v="0"/>
  </r>
  <r>
    <n v="48647651375"/>
    <s v="Lorena Paredes"/>
    <x v="1"/>
    <s v="Ensino Médio"/>
    <s v="Negócios"/>
    <x v="0"/>
    <d v="1960-06-05T00:00:00"/>
    <x v="5"/>
    <x v="2"/>
    <n v="9.9"/>
    <n v="65"/>
    <x v="0"/>
  </r>
  <r>
    <n v="48711816230"/>
    <s v="Renata Costa"/>
    <x v="1"/>
    <s v="Ensino Médio"/>
    <s v="Economia"/>
    <x v="0"/>
    <d v="1959-06-17T00:00:00"/>
    <x v="4"/>
    <x v="1"/>
    <n v="35.9"/>
    <n v="66"/>
    <x v="0"/>
  </r>
  <r>
    <n v="48816102229"/>
    <s v="Jose Luis Cardenas"/>
    <x v="0"/>
    <s v="Superior"/>
    <s v="Agronegócio"/>
    <x v="0"/>
    <d v="1980-04-28T00:00:00"/>
    <x v="3"/>
    <x v="1"/>
    <n v="35.9"/>
    <n v="45"/>
    <x v="2"/>
  </r>
  <r>
    <n v="48822792088"/>
    <s v="Luiz Rodrigues"/>
    <x v="0"/>
    <s v="Superior"/>
    <s v="Economia"/>
    <x v="0"/>
    <d v="1984-03-02T00:00:00"/>
    <x v="5"/>
    <x v="2"/>
    <n v="9.9"/>
    <n v="41"/>
    <x v="3"/>
  </r>
  <r>
    <n v="48910175046"/>
    <s v="Mariana Souza"/>
    <x v="1"/>
    <s v="Ensino Médio"/>
    <s v="Negócios"/>
    <x v="0"/>
    <d v="1960-05-03T00:00:00"/>
    <x v="4"/>
    <x v="1"/>
    <n v="35.9"/>
    <n v="65"/>
    <x v="0"/>
  </r>
  <r>
    <n v="48925097810"/>
    <s v="Emerson Santos"/>
    <x v="0"/>
    <s v="Superior"/>
    <s v="Economia"/>
    <x v="0"/>
    <d v="1959-09-10T00:00:00"/>
    <x v="3"/>
    <x v="0"/>
    <n v="29.9"/>
    <n v="66"/>
    <x v="0"/>
  </r>
  <r>
    <n v="49017327941"/>
    <s v="Eva Powell"/>
    <x v="1"/>
    <s v="Ensino Médio"/>
    <s v="Economia"/>
    <x v="2"/>
    <d v="1973-10-16T00:00:00"/>
    <x v="0"/>
    <x v="0"/>
    <n v="29.9"/>
    <n v="52"/>
    <x v="2"/>
  </r>
  <r>
    <n v="49141215224"/>
    <s v="William Costa"/>
    <x v="0"/>
    <s v="Superior"/>
    <s v="Economia"/>
    <x v="2"/>
    <d v="1955-06-11T00:00:00"/>
    <x v="0"/>
    <x v="1"/>
    <n v="35.9"/>
    <n v="70"/>
    <x v="0"/>
  </r>
  <r>
    <n v="49215142467"/>
    <s v="Silvia Navarro"/>
    <x v="1"/>
    <s v="Pós-Graduação"/>
    <s v="Finanças"/>
    <x v="0"/>
    <d v="1988-01-12T00:00:00"/>
    <x v="0"/>
    <x v="0"/>
    <n v="29.9"/>
    <n v="37"/>
    <x v="3"/>
  </r>
  <r>
    <n v="49266952999"/>
    <s v="Sandra Rodrigues"/>
    <x v="1"/>
    <s v="Pós-Graduação"/>
    <s v="Negócios"/>
    <x v="0"/>
    <d v="1978-06-24T00:00:00"/>
    <x v="0"/>
    <x v="1"/>
    <n v="35.9"/>
    <n v="47"/>
    <x v="2"/>
  </r>
  <r>
    <n v="49280389108"/>
    <s v="Isabel Ramos"/>
    <x v="1"/>
    <s v="Superior"/>
    <s v="Finanças"/>
    <x v="1"/>
    <d v="1957-04-09T00:00:00"/>
    <x v="0"/>
    <x v="0"/>
    <n v="29.9"/>
    <n v="68"/>
    <x v="0"/>
  </r>
  <r>
    <n v="49281927823"/>
    <s v="Patricia Fuentes"/>
    <x v="1"/>
    <s v="Ensino Médio"/>
    <s v="Política"/>
    <x v="1"/>
    <d v="1993-12-26T00:00:00"/>
    <x v="0"/>
    <x v="3"/>
    <n v="79.900000000000006"/>
    <n v="31"/>
    <x v="1"/>
  </r>
  <r>
    <n v="49300310285"/>
    <s v="Sophia Wilson"/>
    <x v="1"/>
    <s v="Superior"/>
    <s v="Agronegócio"/>
    <x v="2"/>
    <d v="1971-11-25T00:00:00"/>
    <x v="0"/>
    <x v="3"/>
    <n v="79.900000000000006"/>
    <n v="54"/>
    <x v="0"/>
  </r>
  <r>
    <n v="49307528124"/>
    <s v="Ana Ruiz"/>
    <x v="1"/>
    <s v="Mestrado"/>
    <s v="Agronegócio"/>
    <x v="2"/>
    <d v="1987-07-05T00:00:00"/>
    <x v="0"/>
    <x v="2"/>
    <n v="9.9"/>
    <n v="38"/>
    <x v="3"/>
  </r>
  <r>
    <n v="49328439074"/>
    <s v="Rodrigo Mora"/>
    <x v="0"/>
    <s v="Mestrado"/>
    <s v="Negócios"/>
    <x v="2"/>
    <d v="1983-02-14T00:00:00"/>
    <x v="0"/>
    <x v="0"/>
    <n v="29.9"/>
    <n v="42"/>
    <x v="3"/>
  </r>
  <r>
    <n v="49391829352"/>
    <s v="José Fernandes"/>
    <x v="0"/>
    <s v="Superior"/>
    <s v="Negócios"/>
    <x v="1"/>
    <d v="1982-06-20T00:00:00"/>
    <x v="1"/>
    <x v="1"/>
    <n v="35.9"/>
    <n v="43"/>
    <x v="3"/>
  </r>
  <r>
    <n v="49395647705"/>
    <s v="Liam Williams"/>
    <x v="0"/>
    <s v="Ensino Médio"/>
    <s v="Negócios"/>
    <x v="1"/>
    <d v="1990-03-13T00:00:00"/>
    <x v="2"/>
    <x v="3"/>
    <n v="79.900000000000006"/>
    <n v="35"/>
    <x v="3"/>
  </r>
  <r>
    <n v="49477339063"/>
    <s v="David Carter"/>
    <x v="0"/>
    <s v="Mestrado"/>
    <s v="Negócios"/>
    <x v="0"/>
    <d v="1965-10-17T00:00:00"/>
    <x v="3"/>
    <x v="0"/>
    <n v="29.9"/>
    <n v="60"/>
    <x v="0"/>
  </r>
  <r>
    <n v="49479547341"/>
    <s v="Vilma Gomes"/>
    <x v="1"/>
    <s v="Ensino Médio"/>
    <s v="Política"/>
    <x v="1"/>
    <d v="1963-09-08T00:00:00"/>
    <x v="3"/>
    <x v="3"/>
    <n v="79.900000000000006"/>
    <n v="62"/>
    <x v="0"/>
  </r>
  <r>
    <n v="49514272789"/>
    <s v="Eliza Hayes"/>
    <x v="1"/>
    <s v="Ensino Médio"/>
    <s v="Esportes"/>
    <x v="0"/>
    <d v="1975-08-20T00:00:00"/>
    <x v="3"/>
    <x v="2"/>
    <n v="9.9"/>
    <n v="50"/>
    <x v="2"/>
  </r>
  <r>
    <n v="49561602728"/>
    <s v="Renata Pereira"/>
    <x v="1"/>
    <s v="Doutorado"/>
    <s v="Negócios"/>
    <x v="0"/>
    <d v="1965-01-18T00:00:00"/>
    <x v="3"/>
    <x v="2"/>
    <n v="9.9"/>
    <n v="60"/>
    <x v="0"/>
  </r>
  <r>
    <n v="49609420133"/>
    <s v="Miguel Rivera"/>
    <x v="0"/>
    <s v="Superior"/>
    <s v="Agronegócio"/>
    <x v="0"/>
    <d v="1962-04-30T00:00:00"/>
    <x v="3"/>
    <x v="3"/>
    <n v="79.900000000000006"/>
    <n v="63"/>
    <x v="0"/>
  </r>
  <r>
    <n v="49615735146"/>
    <s v="Jorge Vazquez"/>
    <x v="0"/>
    <s v="Ensino Médio"/>
    <s v="Economia"/>
    <x v="0"/>
    <d v="1988-11-21T00:00:00"/>
    <x v="3"/>
    <x v="0"/>
    <n v="29.9"/>
    <n v="37"/>
    <x v="3"/>
  </r>
  <r>
    <n v="49708771068"/>
    <s v="Bernardo Martins"/>
    <x v="0"/>
    <s v="Superior"/>
    <s v="Negócios"/>
    <x v="1"/>
    <d v="1982-01-27T00:00:00"/>
    <x v="4"/>
    <x v="2"/>
    <n v="9.9"/>
    <n v="43"/>
    <x v="3"/>
  </r>
  <r>
    <n v="49733529074"/>
    <s v="Antônio Silva"/>
    <x v="0"/>
    <s v="Ensino Médio"/>
    <s v="Agronegócio"/>
    <x v="0"/>
    <d v="1980-12-23T00:00:00"/>
    <x v="0"/>
    <x v="3"/>
    <n v="79.900000000000006"/>
    <n v="44"/>
    <x v="2"/>
  </r>
  <r>
    <n v="49822462008"/>
    <s v="Salvador Bravo"/>
    <x v="0"/>
    <s v="Pós-Graduação"/>
    <s v="Economia"/>
    <x v="2"/>
    <d v="1961-08-18T00:00:00"/>
    <x v="0"/>
    <x v="2"/>
    <n v="9.9"/>
    <n v="64"/>
    <x v="0"/>
  </r>
  <r>
    <n v="49859929846"/>
    <s v="Carlos Alberto Garcia"/>
    <x v="0"/>
    <s v="Ensino Médio"/>
    <s v="Economia"/>
    <x v="0"/>
    <d v="1991-08-18T00:00:00"/>
    <x v="0"/>
    <x v="2"/>
    <n v="9.9"/>
    <n v="34"/>
    <x v="1"/>
  </r>
  <r>
    <n v="49948498268"/>
    <s v="Bernardo Almeida"/>
    <x v="0"/>
    <s v="Mestrado"/>
    <s v="Finanças"/>
    <x v="0"/>
    <d v="1964-06-26T00:00:00"/>
    <x v="0"/>
    <x v="0"/>
    <n v="29.9"/>
    <n v="61"/>
    <x v="0"/>
  </r>
  <r>
    <n v="49996091120"/>
    <s v="Ricardo Navarro"/>
    <x v="0"/>
    <s v="Superior"/>
    <s v="Finanças"/>
    <x v="0"/>
    <d v="1955-12-12T00:00:00"/>
    <x v="0"/>
    <x v="0"/>
    <n v="29.9"/>
    <n v="70"/>
    <x v="0"/>
  </r>
  <r>
    <n v="50008008920"/>
    <s v="Victor Maldonado"/>
    <x v="0"/>
    <s v="Ensino Médio"/>
    <s v="Política"/>
    <x v="0"/>
    <d v="1961-03-15T00:00:00"/>
    <x v="5"/>
    <x v="3"/>
    <n v="79.900000000000006"/>
    <n v="64"/>
    <x v="0"/>
  </r>
  <r>
    <n v="50013996249"/>
    <s v="Sandra Pereira"/>
    <x v="1"/>
    <s v="Ensino Médio"/>
    <s v="Negócios"/>
    <x v="0"/>
    <d v="1968-02-04T00:00:00"/>
    <x v="1"/>
    <x v="3"/>
    <n v="79.900000000000006"/>
    <n v="57"/>
    <x v="0"/>
  </r>
  <r>
    <n v="50105898295"/>
    <s v="Bruno Oliveira"/>
    <x v="0"/>
    <s v="Pós-Graduação"/>
    <s v="Agronegócio"/>
    <x v="1"/>
    <d v="1957-04-27T00:00:00"/>
    <x v="6"/>
    <x v="2"/>
    <n v="9.9"/>
    <n v="68"/>
    <x v="0"/>
  </r>
  <r>
    <n v="50108835505"/>
    <s v="William Silva"/>
    <x v="0"/>
    <s v="Mestrado"/>
    <s v="Negócios"/>
    <x v="2"/>
    <d v="1958-10-05T00:00:00"/>
    <x v="2"/>
    <x v="0"/>
    <n v="29.9"/>
    <n v="67"/>
    <x v="0"/>
  </r>
  <r>
    <n v="50125202242"/>
    <s v="José Martins"/>
    <x v="0"/>
    <s v="Ensino Médio"/>
    <s v="Negócios"/>
    <x v="1"/>
    <d v="1983-01-20T00:00:00"/>
    <x v="7"/>
    <x v="3"/>
    <n v="79.900000000000006"/>
    <n v="42"/>
    <x v="3"/>
  </r>
  <r>
    <n v="50213585733"/>
    <s v="Emiliano Acosta"/>
    <x v="0"/>
    <s v="Superior"/>
    <s v="Economia"/>
    <x v="0"/>
    <d v="1961-09-14T00:00:00"/>
    <x v="5"/>
    <x v="2"/>
    <n v="9.9"/>
    <n v="64"/>
    <x v="0"/>
  </r>
  <r>
    <n v="50296433971"/>
    <s v="Pedro Almeida"/>
    <x v="0"/>
    <s v="Mestrado"/>
    <s v="Finanças"/>
    <x v="0"/>
    <d v="1984-06-24T00:00:00"/>
    <x v="4"/>
    <x v="0"/>
    <n v="29.9"/>
    <n v="41"/>
    <x v="3"/>
  </r>
  <r>
    <n v="50331166214"/>
    <s v="Adrian Brooks"/>
    <x v="0"/>
    <s v="Ensino Médio"/>
    <s v="Negócios"/>
    <x v="0"/>
    <d v="1977-05-08T00:00:00"/>
    <x v="3"/>
    <x v="3"/>
    <n v="79.900000000000006"/>
    <n v="48"/>
    <x v="2"/>
  </r>
  <r>
    <n v="50356441737"/>
    <s v="Carolina Gomes"/>
    <x v="1"/>
    <s v="Ensino Médio"/>
    <s v="Negócios"/>
    <x v="1"/>
    <d v="1999-12-16T00:00:00"/>
    <x v="5"/>
    <x v="3"/>
    <n v="79.900000000000006"/>
    <n v="25"/>
    <x v="1"/>
  </r>
  <r>
    <n v="50376304529"/>
    <s v="Amanda Costa Almeida"/>
    <x v="1"/>
    <s v="Ensino Médio"/>
    <s v="Negócios"/>
    <x v="1"/>
    <d v="1955-03-10T00:00:00"/>
    <x v="4"/>
    <x v="2"/>
    <n v="9.9"/>
    <n v="70"/>
    <x v="0"/>
  </r>
  <r>
    <n v="50443594586"/>
    <s v="Ramon Flores"/>
    <x v="0"/>
    <s v="Mestrado"/>
    <s v="Esportes"/>
    <x v="2"/>
    <d v="1982-12-17T00:00:00"/>
    <x v="3"/>
    <x v="2"/>
    <n v="9.9"/>
    <n v="42"/>
    <x v="3"/>
  </r>
  <r>
    <n v="50628172347"/>
    <s v="Jesus Manuel Jimenez"/>
    <x v="0"/>
    <s v="Ensino Médio"/>
    <s v="Agronegócio"/>
    <x v="0"/>
    <d v="1987-05-02T00:00:00"/>
    <x v="0"/>
    <x v="3"/>
    <n v="79.900000000000006"/>
    <n v="38"/>
    <x v="3"/>
  </r>
  <r>
    <n v="50667919920"/>
    <s v="Hunter Sullivan"/>
    <x v="0"/>
    <s v="Ensino Médio"/>
    <s v="Economia"/>
    <x v="1"/>
    <d v="1981-06-06T00:00:00"/>
    <x v="0"/>
    <x v="0"/>
    <n v="29.9"/>
    <n v="44"/>
    <x v="2"/>
  </r>
  <r>
    <n v="50699518176"/>
    <s v="Juan Hernandez"/>
    <x v="0"/>
    <s v="Ensino Médio"/>
    <s v="Política"/>
    <x v="1"/>
    <d v="1989-04-10T00:00:00"/>
    <x v="0"/>
    <x v="3"/>
    <n v="79.900000000000006"/>
    <n v="36"/>
    <x v="3"/>
  </r>
  <r>
    <n v="50820733116"/>
    <s v="Joseph Perez"/>
    <x v="0"/>
    <s v="Superior"/>
    <s v="Finanças"/>
    <x v="1"/>
    <d v="1956-12-21T00:00:00"/>
    <x v="0"/>
    <x v="0"/>
    <n v="29.9"/>
    <n v="68"/>
    <x v="0"/>
  </r>
  <r>
    <n v="50850484107"/>
    <s v="Mayra Escobar"/>
    <x v="1"/>
    <s v="Ensino Médio"/>
    <s v="Economia"/>
    <x v="1"/>
    <d v="1988-12-10T00:00:00"/>
    <x v="0"/>
    <x v="0"/>
    <n v="29.9"/>
    <n v="37"/>
    <x v="3"/>
  </r>
  <r>
    <n v="51147741385"/>
    <s v="Renata Gomes"/>
    <x v="1"/>
    <s v="Ensino Médio"/>
    <s v="Economia"/>
    <x v="1"/>
    <d v="1986-01-08T00:00:00"/>
    <x v="0"/>
    <x v="0"/>
    <n v="29.9"/>
    <n v="39"/>
    <x v="3"/>
  </r>
  <r>
    <n v="51192158500"/>
    <s v="Jesus Castro"/>
    <x v="0"/>
    <s v="Superior"/>
    <s v="Política"/>
    <x v="1"/>
    <d v="1955-01-01T00:00:00"/>
    <x v="0"/>
    <x v="3"/>
    <n v="79.900000000000006"/>
    <n v="70"/>
    <x v="0"/>
  </r>
  <r>
    <n v="51204535285"/>
    <s v="Rita Silva"/>
    <x v="1"/>
    <s v="Pós-Graduação"/>
    <s v="Agronegócio"/>
    <x v="0"/>
    <d v="1975-03-24T00:00:00"/>
    <x v="0"/>
    <x v="3"/>
    <n v="79.900000000000006"/>
    <n v="50"/>
    <x v="2"/>
  </r>
  <r>
    <n v="51230053057"/>
    <s v="Mariana Oliveira"/>
    <x v="1"/>
    <s v="Superior"/>
    <s v="Negócios"/>
    <x v="1"/>
    <d v="1985-01-25T00:00:00"/>
    <x v="0"/>
    <x v="2"/>
    <n v="9.9"/>
    <n v="40"/>
    <x v="3"/>
  </r>
  <r>
    <n v="51483423208"/>
    <s v="Vilma Rodrigues"/>
    <x v="1"/>
    <s v="Pós-Graduação"/>
    <s v="Negócios"/>
    <x v="2"/>
    <d v="1994-08-16T00:00:00"/>
    <x v="1"/>
    <x v="2"/>
    <n v="9.9"/>
    <n v="31"/>
    <x v="1"/>
  </r>
  <r>
    <n v="51537734484"/>
    <s v="Pedro Pereira"/>
    <x v="0"/>
    <s v="Mestrado"/>
    <s v="Negócios"/>
    <x v="0"/>
    <d v="1961-04-21T00:00:00"/>
    <x v="2"/>
    <x v="2"/>
    <n v="9.9"/>
    <n v="64"/>
    <x v="0"/>
  </r>
  <r>
    <n v="51624291281"/>
    <s v="Sandra Santos"/>
    <x v="1"/>
    <s v="Superior"/>
    <s v="Agronegócio"/>
    <x v="0"/>
    <d v="1969-03-02T00:00:00"/>
    <x v="3"/>
    <x v="2"/>
    <n v="9.9"/>
    <n v="56"/>
    <x v="0"/>
  </r>
  <r>
    <n v="51629234687"/>
    <s v="Levi Sanders"/>
    <x v="1"/>
    <s v="Pós-Graduação"/>
    <s v="Finanças"/>
    <x v="0"/>
    <d v="1970-06-16T00:00:00"/>
    <x v="3"/>
    <x v="0"/>
    <n v="29.9"/>
    <n v="55"/>
    <x v="0"/>
  </r>
  <r>
    <n v="51648535772"/>
    <s v="William Rodrigues"/>
    <x v="0"/>
    <s v="Ensino Médio"/>
    <s v="Negócios"/>
    <x v="0"/>
    <d v="1964-05-13T00:00:00"/>
    <x v="3"/>
    <x v="2"/>
    <n v="9.9"/>
    <n v="61"/>
    <x v="0"/>
  </r>
  <r>
    <n v="51676477218"/>
    <s v="Bruno Gomes"/>
    <x v="0"/>
    <s v="Superior"/>
    <s v="Esportes"/>
    <x v="0"/>
    <d v="1967-09-25T00:00:00"/>
    <x v="3"/>
    <x v="2"/>
    <n v="9.9"/>
    <n v="58"/>
    <x v="0"/>
  </r>
  <r>
    <n v="51680460346"/>
    <s v="Jackson Smith"/>
    <x v="0"/>
    <s v="Superior"/>
    <s v="Negócios"/>
    <x v="1"/>
    <d v="1989-11-01T00:00:00"/>
    <x v="3"/>
    <x v="1"/>
    <n v="35.9"/>
    <n v="36"/>
    <x v="3"/>
  </r>
  <r>
    <n v="51711010382"/>
    <s v="Pedro Martins"/>
    <x v="0"/>
    <s v="Ensino Médio"/>
    <s v="Finanças"/>
    <x v="1"/>
    <d v="1974-07-18T00:00:00"/>
    <x v="3"/>
    <x v="0"/>
    <n v="29.9"/>
    <n v="51"/>
    <x v="2"/>
  </r>
  <r>
    <n v="51769930316"/>
    <s v="Natalia Jimenez"/>
    <x v="1"/>
    <s v="Ensino Médio"/>
    <s v="Economia"/>
    <x v="0"/>
    <d v="1970-11-13T00:00:00"/>
    <x v="4"/>
    <x v="0"/>
    <n v="29.9"/>
    <n v="55"/>
    <x v="0"/>
  </r>
  <r>
    <n v="51789418350"/>
    <s v="Sergio Camacho"/>
    <x v="1"/>
    <s v="Ensino Médio"/>
    <s v="Negócios"/>
    <x v="0"/>
    <d v="1984-05-22T00:00:00"/>
    <x v="0"/>
    <x v="0"/>
    <n v="29.9"/>
    <n v="41"/>
    <x v="3"/>
  </r>
  <r>
    <n v="51815365690"/>
    <s v="William Pereira"/>
    <x v="0"/>
    <s v="Superior"/>
    <s v="Finanças"/>
    <x v="1"/>
    <d v="1963-06-14T00:00:00"/>
    <x v="0"/>
    <x v="2"/>
    <n v="9.9"/>
    <n v="62"/>
    <x v="0"/>
  </r>
  <r>
    <n v="51918800636"/>
    <s v="André Castro"/>
    <x v="0"/>
    <s v="Superior"/>
    <s v="Economia"/>
    <x v="0"/>
    <d v="1958-04-03T00:00:00"/>
    <x v="0"/>
    <x v="1"/>
    <n v="35.9"/>
    <n v="67"/>
    <x v="0"/>
  </r>
  <r>
    <n v="51958244063"/>
    <s v="Marcelo Pereira"/>
    <x v="0"/>
    <s v="Superior"/>
    <s v="Economia"/>
    <x v="2"/>
    <d v="1979-03-10T00:00:00"/>
    <x v="0"/>
    <x v="2"/>
    <n v="9.9"/>
    <n v="46"/>
    <x v="2"/>
  </r>
  <r>
    <n v="51993203545"/>
    <s v="Angelica Ibarra"/>
    <x v="1"/>
    <s v="Pós-Graduação"/>
    <s v="Negócios"/>
    <x v="2"/>
    <d v="1969-03-23T00:00:00"/>
    <x v="0"/>
    <x v="3"/>
    <n v="79.900000000000006"/>
    <n v="56"/>
    <x v="0"/>
  </r>
  <r>
    <n v="52074827600"/>
    <s v="Layla Torres"/>
    <x v="1"/>
    <s v="Pós-Graduação"/>
    <s v="Agronegócio"/>
    <x v="1"/>
    <d v="1959-01-05T00:00:00"/>
    <x v="5"/>
    <x v="2"/>
    <n v="9.9"/>
    <n v="66"/>
    <x v="0"/>
  </r>
  <r>
    <n v="52113552792"/>
    <s v="Alejandro Garcia"/>
    <x v="0"/>
    <s v="Superior"/>
    <s v="Finanças"/>
    <x v="1"/>
    <d v="1963-07-25T00:00:00"/>
    <x v="1"/>
    <x v="0"/>
    <n v="29.9"/>
    <n v="62"/>
    <x v="0"/>
  </r>
  <r>
    <n v="52125136892"/>
    <s v="Emerson Pereira"/>
    <x v="0"/>
    <s v="Ensino Médio"/>
    <s v="Política"/>
    <x v="0"/>
    <d v="1965-05-25T00:00:00"/>
    <x v="6"/>
    <x v="3"/>
    <n v="79.900000000000006"/>
    <n v="60"/>
    <x v="0"/>
  </r>
  <r>
    <n v="52171616989"/>
    <s v="John Cook"/>
    <x v="0"/>
    <s v="Ensino Médio"/>
    <s v="Negócios"/>
    <x v="0"/>
    <d v="1985-09-13T00:00:00"/>
    <x v="2"/>
    <x v="2"/>
    <n v="9.9"/>
    <n v="40"/>
    <x v="3"/>
  </r>
  <r>
    <n v="52175547539"/>
    <s v="Thiago Barbosa Santos"/>
    <x v="0"/>
    <s v="Superior"/>
    <s v="Economia"/>
    <x v="0"/>
    <d v="1986-09-20T00:00:00"/>
    <x v="7"/>
    <x v="2"/>
    <n v="9.9"/>
    <n v="39"/>
    <x v="3"/>
  </r>
  <r>
    <n v="52194876240"/>
    <s v="Bernardo Gomes"/>
    <x v="0"/>
    <s v="Superior"/>
    <s v="Economia"/>
    <x v="0"/>
    <d v="1991-04-13T00:00:00"/>
    <x v="5"/>
    <x v="1"/>
    <n v="35.9"/>
    <n v="34"/>
    <x v="1"/>
  </r>
  <r>
    <n v="52237008409"/>
    <s v="Rita Oliveira"/>
    <x v="1"/>
    <s v="Superior"/>
    <s v="Economia"/>
    <x v="0"/>
    <d v="1979-05-10T00:00:00"/>
    <x v="4"/>
    <x v="1"/>
    <n v="35.9"/>
    <n v="46"/>
    <x v="2"/>
  </r>
  <r>
    <n v="52262038971"/>
    <s v="Isabelle Howard"/>
    <x v="1"/>
    <s v="Superior"/>
    <s v="Esportes"/>
    <x v="2"/>
    <d v="1988-09-22T00:00:00"/>
    <x v="3"/>
    <x v="2"/>
    <n v="9.9"/>
    <n v="37"/>
    <x v="3"/>
  </r>
  <r>
    <n v="52272478127"/>
    <s v="Giovanna Oliveira Martins"/>
    <x v="1"/>
    <s v="Ensino Médio"/>
    <s v="Economia"/>
    <x v="1"/>
    <d v="1988-10-01T00:00:00"/>
    <x v="5"/>
    <x v="0"/>
    <n v="29.9"/>
    <n v="37"/>
    <x v="3"/>
  </r>
  <r>
    <n v="52340215967"/>
    <s v="Lucas Fernandes"/>
    <x v="0"/>
    <s v="Superior"/>
    <s v="Economia"/>
    <x v="0"/>
    <d v="1962-04-06T00:00:00"/>
    <x v="4"/>
    <x v="1"/>
    <n v="35.9"/>
    <n v="63"/>
    <x v="0"/>
  </r>
  <r>
    <n v="52456163228"/>
    <s v="Renata Santos"/>
    <x v="1"/>
    <s v="Superior"/>
    <s v="Finanças"/>
    <x v="1"/>
    <d v="1970-07-03T00:00:00"/>
    <x v="3"/>
    <x v="0"/>
    <n v="29.9"/>
    <n v="55"/>
    <x v="0"/>
  </r>
  <r>
    <n v="52607015603"/>
    <s v="Daniel Santos"/>
    <x v="0"/>
    <s v="Ensino Médio"/>
    <s v="Agronegócio"/>
    <x v="2"/>
    <d v="1976-03-11T00:00:00"/>
    <x v="0"/>
    <x v="3"/>
    <n v="79.900000000000006"/>
    <n v="49"/>
    <x v="2"/>
  </r>
  <r>
    <n v="52698133621"/>
    <s v="Felipe Pereira"/>
    <x v="0"/>
    <s v="Ensino Médio"/>
    <s v="Esportes"/>
    <x v="0"/>
    <d v="1992-03-05T00:00:00"/>
    <x v="0"/>
    <x v="2"/>
    <n v="9.9"/>
    <n v="33"/>
    <x v="1"/>
  </r>
  <r>
    <n v="52701318925"/>
    <s v="Charlotte Robinson"/>
    <x v="1"/>
    <s v="Superior"/>
    <s v="Economia"/>
    <x v="2"/>
    <d v="1975-09-21T00:00:00"/>
    <x v="0"/>
    <x v="1"/>
    <n v="35.9"/>
    <n v="50"/>
    <x v="2"/>
  </r>
  <r>
    <n v="52730416333"/>
    <s v="Ethan White"/>
    <x v="0"/>
    <s v="Mestrado"/>
    <s v="Negócios"/>
    <x v="0"/>
    <d v="1988-05-16T00:00:00"/>
    <x v="0"/>
    <x v="2"/>
    <n v="9.9"/>
    <n v="37"/>
    <x v="3"/>
  </r>
  <r>
    <n v="52741320194"/>
    <s v="Renata Silva"/>
    <x v="1"/>
    <s v="Pós-Graduação"/>
    <s v="Esportes"/>
    <x v="0"/>
    <d v="1973-06-08T00:00:00"/>
    <x v="0"/>
    <x v="2"/>
    <n v="9.9"/>
    <n v="52"/>
    <x v="2"/>
  </r>
  <r>
    <n v="52803639273"/>
    <s v="Elena Cabrera"/>
    <x v="1"/>
    <s v="Superior"/>
    <s v="Economia"/>
    <x v="2"/>
    <d v="1989-03-09T00:00:00"/>
    <x v="0"/>
    <x v="1"/>
    <n v="35.9"/>
    <n v="36"/>
    <x v="3"/>
  </r>
  <r>
    <n v="52822338787"/>
    <s v="André Castro"/>
    <x v="0"/>
    <s v="Superior"/>
    <s v="Economia"/>
    <x v="0"/>
    <d v="1976-10-03T00:00:00"/>
    <x v="0"/>
    <x v="1"/>
    <n v="35.9"/>
    <n v="49"/>
    <x v="2"/>
  </r>
  <r>
    <n v="52838416344"/>
    <s v="Javier Diaz"/>
    <x v="0"/>
    <s v="Pós-Graduação"/>
    <s v="Negócios"/>
    <x v="0"/>
    <d v="1957-01-23T00:00:00"/>
    <x v="0"/>
    <x v="2"/>
    <n v="9.9"/>
    <n v="68"/>
    <x v="0"/>
  </r>
  <r>
    <n v="52969912178"/>
    <s v="Emerson Almeida"/>
    <x v="0"/>
    <s v="Superior"/>
    <s v="Negócios"/>
    <x v="1"/>
    <d v="1978-04-06T00:00:00"/>
    <x v="0"/>
    <x v="3"/>
    <n v="79.900000000000006"/>
    <n v="47"/>
    <x v="2"/>
  </r>
  <r>
    <n v="53085921994"/>
    <s v="Juliana Santos"/>
    <x v="1"/>
    <s v="Ensino Médio"/>
    <s v="Política"/>
    <x v="1"/>
    <d v="1992-10-12T00:00:00"/>
    <x v="1"/>
    <x v="3"/>
    <n v="79.900000000000006"/>
    <n v="33"/>
    <x v="1"/>
  </r>
  <r>
    <n v="53104808484"/>
    <s v="Emerson Silva"/>
    <x v="0"/>
    <s v="Pós-Graduação"/>
    <s v="Agronegócio"/>
    <x v="2"/>
    <d v="1994-09-16T00:00:00"/>
    <x v="2"/>
    <x v="1"/>
    <n v="35.9"/>
    <n v="31"/>
    <x v="1"/>
  </r>
  <r>
    <n v="53144306711"/>
    <s v="Lincoln Hughes"/>
    <x v="0"/>
    <s v="Pós-Graduação"/>
    <s v="Política"/>
    <x v="2"/>
    <d v="1985-08-12T00:00:00"/>
    <x v="3"/>
    <x v="3"/>
    <n v="79.900000000000006"/>
    <n v="40"/>
    <x v="3"/>
  </r>
  <r>
    <n v="53226935462"/>
    <s v="Juliana Santos"/>
    <x v="1"/>
    <s v="Ensino Médio"/>
    <s v="Política"/>
    <x v="1"/>
    <d v="1962-01-07T00:00:00"/>
    <x v="3"/>
    <x v="3"/>
    <n v="79.900000000000006"/>
    <n v="63"/>
    <x v="0"/>
  </r>
  <r>
    <n v="53264395264"/>
    <s v="Cameron Coleman"/>
    <x v="0"/>
    <s v="Superior"/>
    <s v="Negócios"/>
    <x v="0"/>
    <d v="1975-04-21T00:00:00"/>
    <x v="3"/>
    <x v="2"/>
    <n v="9.9"/>
    <n v="50"/>
    <x v="2"/>
  </r>
  <r>
    <n v="53325037620"/>
    <s v="Mia Thomas"/>
    <x v="1"/>
    <s v="Superior"/>
    <s v="Negócios"/>
    <x v="0"/>
    <d v="1984-10-01T00:00:00"/>
    <x v="3"/>
    <x v="0"/>
    <n v="29.9"/>
    <n v="41"/>
    <x v="3"/>
  </r>
  <r>
    <n v="53398120004"/>
    <s v="Débora Martins"/>
    <x v="1"/>
    <s v="Mestrado"/>
    <s v="Negócios"/>
    <x v="0"/>
    <d v="1985-09-14T00:00:00"/>
    <x v="3"/>
    <x v="2"/>
    <n v="9.9"/>
    <n v="40"/>
    <x v="3"/>
  </r>
  <r>
    <n v="53544540367"/>
    <s v="Marisol Ponce"/>
    <x v="1"/>
    <s v="Ensino Médio"/>
    <s v="Política"/>
    <x v="1"/>
    <d v="1988-06-27T00:00:00"/>
    <x v="3"/>
    <x v="3"/>
    <n v="79.900000000000006"/>
    <n v="37"/>
    <x v="3"/>
  </r>
  <r>
    <n v="53556010406"/>
    <s v="Hazel Myers"/>
    <x v="1"/>
    <s v="Superior"/>
    <s v="Economia"/>
    <x v="0"/>
    <d v="1970-05-17T00:00:00"/>
    <x v="4"/>
    <x v="2"/>
    <n v="9.9"/>
    <n v="55"/>
    <x v="0"/>
  </r>
  <r>
    <n v="53620445355"/>
    <s v="Vilma Almeida"/>
    <x v="1"/>
    <s v="Superior"/>
    <s v="Negócios"/>
    <x v="0"/>
    <d v="1959-09-04T00:00:00"/>
    <x v="0"/>
    <x v="2"/>
    <n v="9.9"/>
    <n v="66"/>
    <x v="0"/>
  </r>
  <r>
    <n v="53634568625"/>
    <s v="William Allen"/>
    <x v="0"/>
    <s v="Superior"/>
    <s v="Negócios"/>
    <x v="1"/>
    <d v="1981-05-05T00:00:00"/>
    <x v="0"/>
    <x v="1"/>
    <n v="35.9"/>
    <n v="44"/>
    <x v="2"/>
  </r>
  <r>
    <n v="53741571286"/>
    <s v="Vanessa Costa"/>
    <x v="1"/>
    <s v="Ensino Médio"/>
    <s v="Política"/>
    <x v="1"/>
    <d v="1996-04-16T00:00:00"/>
    <x v="0"/>
    <x v="3"/>
    <n v="79.900000000000006"/>
    <n v="29"/>
    <x v="1"/>
  </r>
  <r>
    <n v="53837589861"/>
    <s v="Maria Alencar"/>
    <x v="1"/>
    <s v="Ensino Médio"/>
    <s v="Política"/>
    <x v="1"/>
    <d v="1984-02-21T00:00:00"/>
    <x v="0"/>
    <x v="3"/>
    <n v="79.900000000000006"/>
    <n v="41"/>
    <x v="3"/>
  </r>
  <r>
    <n v="53837650572"/>
    <s v="Gabriella Price"/>
    <x v="1"/>
    <s v="Superior"/>
    <s v="Agronegócio"/>
    <x v="0"/>
    <d v="1989-07-10T00:00:00"/>
    <x v="0"/>
    <x v="2"/>
    <n v="9.9"/>
    <n v="36"/>
    <x v="3"/>
  </r>
  <r>
    <n v="53842530303"/>
    <s v="Sandra Oliveira"/>
    <x v="1"/>
    <s v="Mestrado"/>
    <s v="Negócios"/>
    <x v="0"/>
    <d v="1994-01-12T00:00:00"/>
    <x v="5"/>
    <x v="2"/>
    <n v="9.9"/>
    <n v="31"/>
    <x v="1"/>
  </r>
  <r>
    <n v="53865937688"/>
    <s v="Beatriz Castro Oliveira"/>
    <x v="1"/>
    <s v="Superior"/>
    <s v="Negócios"/>
    <x v="1"/>
    <d v="1986-10-06T00:00:00"/>
    <x v="1"/>
    <x v="3"/>
    <n v="79.900000000000006"/>
    <n v="39"/>
    <x v="3"/>
  </r>
  <r>
    <n v="53921313520"/>
    <s v="José Alves"/>
    <x v="0"/>
    <s v="Ensino Médio"/>
    <s v="Economia"/>
    <x v="0"/>
    <d v="1982-11-12T00:00:00"/>
    <x v="6"/>
    <x v="0"/>
    <n v="29.9"/>
    <n v="43"/>
    <x v="3"/>
  </r>
  <r>
    <n v="53994694316"/>
    <s v="Sandra Fernandes"/>
    <x v="1"/>
    <s v="Superior"/>
    <s v="Agronegócio"/>
    <x v="2"/>
    <d v="1985-04-09T00:00:00"/>
    <x v="2"/>
    <x v="1"/>
    <n v="35.9"/>
    <n v="40"/>
    <x v="3"/>
  </r>
  <r>
    <n v="54171024069"/>
    <s v="Eduardo Rodrigues"/>
    <x v="0"/>
    <s v="Superior"/>
    <s v="Agronegócio"/>
    <x v="0"/>
    <d v="1973-09-28T00:00:00"/>
    <x v="7"/>
    <x v="2"/>
    <n v="9.9"/>
    <n v="52"/>
    <x v="2"/>
  </r>
  <r>
    <n v="54198810657"/>
    <s v="Jesus Martinez"/>
    <x v="0"/>
    <s v="Superior"/>
    <s v="Esportes"/>
    <x v="0"/>
    <d v="1995-05-09T00:00:00"/>
    <x v="5"/>
    <x v="2"/>
    <n v="9.9"/>
    <n v="30"/>
    <x v="1"/>
  </r>
  <r>
    <n v="54217073384"/>
    <s v="Júlia Martins"/>
    <x v="1"/>
    <s v="Ensino Médio"/>
    <s v="Finanças"/>
    <x v="1"/>
    <d v="1968-05-18T00:00:00"/>
    <x v="4"/>
    <x v="0"/>
    <n v="29.9"/>
    <n v="57"/>
    <x v="0"/>
  </r>
  <r>
    <n v="54339224143"/>
    <s v="Cecilia Morales"/>
    <x v="1"/>
    <s v="Pós-Graduação"/>
    <s v="Economia"/>
    <x v="2"/>
    <d v="1961-09-30T00:00:00"/>
    <x v="3"/>
    <x v="0"/>
    <n v="29.9"/>
    <n v="64"/>
    <x v="0"/>
  </r>
  <r>
    <n v="54411067391"/>
    <s v="Beatriz Castro"/>
    <x v="1"/>
    <s v="Pós-Graduação"/>
    <s v="Negócios"/>
    <x v="0"/>
    <d v="1985-01-10T00:00:00"/>
    <x v="5"/>
    <x v="0"/>
    <n v="29.9"/>
    <n v="40"/>
    <x v="3"/>
  </r>
  <r>
    <n v="54476634976"/>
    <s v="Vilma Fernandes"/>
    <x v="1"/>
    <s v="Superior"/>
    <s v="Esportes"/>
    <x v="2"/>
    <d v="1983-01-19T00:00:00"/>
    <x v="4"/>
    <x v="0"/>
    <n v="29.9"/>
    <n v="42"/>
    <x v="3"/>
  </r>
  <r>
    <n v="54506367236"/>
    <s v="Pedro Pereira"/>
    <x v="0"/>
    <s v="Mestrado"/>
    <s v="Negócios"/>
    <x v="0"/>
    <d v="1964-09-14T00:00:00"/>
    <x v="3"/>
    <x v="2"/>
    <n v="9.9"/>
    <n v="61"/>
    <x v="0"/>
  </r>
  <r>
    <n v="54526384776"/>
    <s v="Dominic Murphy"/>
    <x v="0"/>
    <s v="Superior"/>
    <s v="Finanças"/>
    <x v="1"/>
    <d v="1982-01-19T00:00:00"/>
    <x v="0"/>
    <x v="2"/>
    <n v="9.9"/>
    <n v="43"/>
    <x v="3"/>
  </r>
  <r>
    <n v="54711975966"/>
    <s v="Isaac Henderson"/>
    <x v="0"/>
    <s v="Ensino Médio"/>
    <s v="Finanças"/>
    <x v="0"/>
    <d v="1981-08-28T00:00:00"/>
    <x v="0"/>
    <x v="0"/>
    <n v="29.9"/>
    <n v="44"/>
    <x v="2"/>
  </r>
  <r>
    <n v="54742058650"/>
    <s v="Carlos Ferreira"/>
    <x v="0"/>
    <s v="Pós-Graduação"/>
    <s v="Negócios"/>
    <x v="1"/>
    <d v="1970-10-05T00:00:00"/>
    <x v="0"/>
    <x v="0"/>
    <n v="29.9"/>
    <n v="55"/>
    <x v="0"/>
  </r>
  <r>
    <n v="54783687741"/>
    <s v="Bruno Pereira Rodrigues"/>
    <x v="0"/>
    <s v="Superior"/>
    <s v="Economia"/>
    <x v="0"/>
    <d v="1988-10-28T00:00:00"/>
    <x v="0"/>
    <x v="1"/>
    <n v="35.9"/>
    <n v="37"/>
    <x v="3"/>
  </r>
  <r>
    <n v="54799023278"/>
    <s v="Lorena Chavez"/>
    <x v="1"/>
    <s v="Mestrado"/>
    <s v="Negócios"/>
    <x v="0"/>
    <d v="1967-12-27T00:00:00"/>
    <x v="0"/>
    <x v="0"/>
    <n v="29.9"/>
    <n v="57"/>
    <x v="0"/>
  </r>
  <r>
    <n v="54839142796"/>
    <s v="Vilma Gomes"/>
    <x v="1"/>
    <s v="Ensino Médio"/>
    <s v="Política"/>
    <x v="1"/>
    <d v="1995-04-18T00:00:00"/>
    <x v="0"/>
    <x v="3"/>
    <n v="79.900000000000006"/>
    <n v="30"/>
    <x v="1"/>
  </r>
  <r>
    <n v="55064239822"/>
    <s v="Mariana Souza Oliveira"/>
    <x v="1"/>
    <s v="Pós-Graduação"/>
    <s v="Política"/>
    <x v="2"/>
    <d v="1957-03-02T00:00:00"/>
    <x v="0"/>
    <x v="3"/>
    <n v="79.900000000000006"/>
    <n v="68"/>
    <x v="0"/>
  </r>
  <r>
    <n v="55151517281"/>
    <s v="Lucas Miller"/>
    <x v="0"/>
    <s v="Pós-Graduação"/>
    <s v="Política"/>
    <x v="2"/>
    <d v="1989-04-30T00:00:00"/>
    <x v="0"/>
    <x v="3"/>
    <n v="79.900000000000006"/>
    <n v="36"/>
    <x v="3"/>
  </r>
  <r>
    <n v="55201624465"/>
    <s v="Elijah Hernandez"/>
    <x v="1"/>
    <s v="Pós-Graduação"/>
    <s v="Finanças"/>
    <x v="0"/>
    <d v="1972-01-05T00:00:00"/>
    <x v="0"/>
    <x v="2"/>
    <n v="9.9"/>
    <n v="53"/>
    <x v="2"/>
  </r>
  <r>
    <n v="55228283525"/>
    <s v="Tristan Perry"/>
    <x v="0"/>
    <s v="Pós-Graduação"/>
    <s v="Negócios"/>
    <x v="0"/>
    <d v="1971-01-21T00:00:00"/>
    <x v="1"/>
    <x v="1"/>
    <n v="35.9"/>
    <n v="54"/>
    <x v="0"/>
  </r>
  <r>
    <n v="55332904919"/>
    <s v="Valentina Rodriguez"/>
    <x v="1"/>
    <s v="Pós-Graduação"/>
    <s v="Agronegócio"/>
    <x v="0"/>
    <d v="1977-11-12T00:00:00"/>
    <x v="2"/>
    <x v="3"/>
    <n v="79.900000000000006"/>
    <n v="48"/>
    <x v="2"/>
  </r>
  <r>
    <n v="55350189669"/>
    <s v="Lucia Sanchez"/>
    <x v="0"/>
    <s v="Superior"/>
    <s v="Negócios"/>
    <x v="2"/>
    <d v="1957-07-22T00:00:00"/>
    <x v="3"/>
    <x v="0"/>
    <n v="29.9"/>
    <n v="68"/>
    <x v="0"/>
  </r>
  <r>
    <n v="55359798830"/>
    <s v="Benjamin Vasquez"/>
    <x v="0"/>
    <s v="Ensino Médio"/>
    <s v="Economia"/>
    <x v="0"/>
    <d v="1981-07-03T00:00:00"/>
    <x v="3"/>
    <x v="1"/>
    <n v="35.9"/>
    <n v="44"/>
    <x v="2"/>
  </r>
  <r>
    <n v="55370247974"/>
    <s v="Owen Watson"/>
    <x v="0"/>
    <s v="Superior"/>
    <s v="Negócios"/>
    <x v="1"/>
    <d v="1960-05-15T00:00:00"/>
    <x v="3"/>
    <x v="2"/>
    <n v="9.9"/>
    <n v="65"/>
    <x v="0"/>
  </r>
  <r>
    <n v="55400526908"/>
    <s v="Débora Martins"/>
    <x v="1"/>
    <s v="Mestrado"/>
    <s v="Negócios"/>
    <x v="0"/>
    <d v="1986-12-07T00:00:00"/>
    <x v="3"/>
    <x v="2"/>
    <n v="9.9"/>
    <n v="39"/>
    <x v="3"/>
  </r>
  <r>
    <n v="55453919588"/>
    <s v="Gabriela Torres"/>
    <x v="1"/>
    <s v="Mestrado"/>
    <s v="Finanças"/>
    <x v="0"/>
    <d v="1972-11-22T00:00:00"/>
    <x v="3"/>
    <x v="0"/>
    <n v="29.9"/>
    <n v="53"/>
    <x v="2"/>
  </r>
  <r>
    <n v="55499979478"/>
    <s v="Carlos Ferreira"/>
    <x v="0"/>
    <s v="Pós-Graduação"/>
    <s v="Negócios"/>
    <x v="1"/>
    <d v="1971-09-09T00:00:00"/>
    <x v="3"/>
    <x v="0"/>
    <n v="29.9"/>
    <n v="54"/>
    <x v="0"/>
  </r>
  <r>
    <n v="55539019573"/>
    <s v="Bernardo Santos"/>
    <x v="0"/>
    <s v="Superior"/>
    <s v="Política"/>
    <x v="1"/>
    <d v="1988-10-03T00:00:00"/>
    <x v="4"/>
    <x v="3"/>
    <n v="79.900000000000006"/>
    <n v="37"/>
    <x v="3"/>
  </r>
  <r>
    <n v="55899436458"/>
    <s v="Rafael Almeida"/>
    <x v="0"/>
    <s v="Doutorado"/>
    <s v="Negócios"/>
    <x v="2"/>
    <d v="1966-10-29T00:00:00"/>
    <x v="0"/>
    <x v="3"/>
    <n v="79.900000000000006"/>
    <n v="59"/>
    <x v="0"/>
  </r>
  <r>
    <n v="56102669696"/>
    <s v="Avery Roberts"/>
    <x v="1"/>
    <s v="Mestrado"/>
    <s v="Negócios"/>
    <x v="2"/>
    <d v="1978-02-02T00:00:00"/>
    <x v="0"/>
    <x v="0"/>
    <n v="29.9"/>
    <n v="47"/>
    <x v="2"/>
  </r>
  <r>
    <n v="56111428025"/>
    <s v="Madison Green"/>
    <x v="0"/>
    <s v="Superior"/>
    <s v="Agronegócio"/>
    <x v="0"/>
    <d v="1989-02-06T00:00:00"/>
    <x v="0"/>
    <x v="3"/>
    <n v="79.900000000000006"/>
    <n v="36"/>
    <x v="3"/>
  </r>
  <r>
    <n v="56167280623"/>
    <s v="Francisco Morales"/>
    <x v="0"/>
    <s v="Doutorado"/>
    <s v="Negócios"/>
    <x v="1"/>
    <d v="1993-04-20T00:00:00"/>
    <x v="0"/>
    <x v="1"/>
    <n v="35.9"/>
    <n v="32"/>
    <x v="1"/>
  </r>
  <r>
    <n v="56213600806"/>
    <s v="Joseph Perez"/>
    <x v="0"/>
    <s v="Superior"/>
    <s v="Finanças"/>
    <x v="1"/>
    <d v="1980-01-15T00:00:00"/>
    <x v="0"/>
    <x v="0"/>
    <n v="29.9"/>
    <n v="45"/>
    <x v="2"/>
  </r>
  <r>
    <n v="56688702646"/>
    <s v="Laura Ribeiro"/>
    <x v="1"/>
    <s v="Doutorado"/>
    <s v="Política"/>
    <x v="1"/>
    <d v="1964-01-07T00:00:00"/>
    <x v="5"/>
    <x v="3"/>
    <n v="79.900000000000006"/>
    <n v="61"/>
    <x v="0"/>
  </r>
  <r>
    <n v="56991862790"/>
    <s v="Nicholas Foster"/>
    <x v="0"/>
    <s v="Mestrado"/>
    <s v="Negócios"/>
    <x v="0"/>
    <d v="1987-11-07T00:00:00"/>
    <x v="1"/>
    <x v="2"/>
    <n v="9.9"/>
    <n v="38"/>
    <x v="3"/>
  </r>
  <r>
    <n v="57093446389"/>
    <s v="Beatriz Delgado"/>
    <x v="1"/>
    <s v="Ensino Médio"/>
    <s v="Esportes"/>
    <x v="2"/>
    <d v="1980-03-11T00:00:00"/>
    <x v="6"/>
    <x v="2"/>
    <n v="9.9"/>
    <n v="45"/>
    <x v="2"/>
  </r>
  <r>
    <n v="57248670590"/>
    <s v="Renata Fernandes"/>
    <x v="1"/>
    <s v="Superior"/>
    <s v="Agronegócio"/>
    <x v="2"/>
    <d v="1977-05-13T00:00:00"/>
    <x v="2"/>
    <x v="2"/>
    <n v="9.9"/>
    <n v="48"/>
    <x v="2"/>
  </r>
  <r>
    <n v="57304884506"/>
    <s v="Rodrigo Oliveira Mendes"/>
    <x v="0"/>
    <s v="Superior"/>
    <s v="Economia"/>
    <x v="2"/>
    <d v="1971-08-16T00:00:00"/>
    <x v="7"/>
    <x v="2"/>
    <n v="9.9"/>
    <n v="54"/>
    <x v="0"/>
  </r>
  <r>
    <n v="57327520985"/>
    <s v="Pedro Rodrigues"/>
    <x v="0"/>
    <s v="Ensino Médio"/>
    <s v="Economia"/>
    <x v="0"/>
    <d v="1988-11-04T00:00:00"/>
    <x v="5"/>
    <x v="2"/>
    <n v="9.9"/>
    <n v="37"/>
    <x v="3"/>
  </r>
  <r>
    <n v="57367066989"/>
    <s v="Jesus Castro"/>
    <x v="0"/>
    <s v="Superior"/>
    <s v="Política"/>
    <x v="1"/>
    <d v="1966-05-08T00:00:00"/>
    <x v="4"/>
    <x v="3"/>
    <n v="79.900000000000006"/>
    <n v="59"/>
    <x v="0"/>
  </r>
  <r>
    <n v="57379301258"/>
    <s v="Audrey Brooks"/>
    <x v="1"/>
    <s v="Pós-Graduação"/>
    <s v="Agronegócio"/>
    <x v="2"/>
    <d v="1978-05-25T00:00:00"/>
    <x v="3"/>
    <x v="1"/>
    <n v="35.9"/>
    <n v="47"/>
    <x v="2"/>
  </r>
  <r>
    <n v="57464065635"/>
    <s v="Renata Santos"/>
    <x v="1"/>
    <s v="Superior"/>
    <s v="Finanças"/>
    <x v="1"/>
    <d v="1991-12-19T00:00:00"/>
    <x v="5"/>
    <x v="0"/>
    <n v="29.9"/>
    <n v="33"/>
    <x v="1"/>
  </r>
  <r>
    <n v="57592799094"/>
    <s v="Carlos Alberto Garcia"/>
    <x v="0"/>
    <s v="Ensino Médio"/>
    <s v="Economia"/>
    <x v="0"/>
    <d v="1978-11-19T00:00:00"/>
    <x v="4"/>
    <x v="2"/>
    <n v="9.9"/>
    <n v="47"/>
    <x v="2"/>
  </r>
  <r>
    <n v="57638196563"/>
    <s v="Fernanda Gomes"/>
    <x v="1"/>
    <s v="Pós-Graduação"/>
    <s v="Negócios"/>
    <x v="2"/>
    <d v="1977-01-10T00:00:00"/>
    <x v="3"/>
    <x v="2"/>
    <n v="9.9"/>
    <n v="48"/>
    <x v="2"/>
  </r>
  <r>
    <n v="57875961749"/>
    <s v="Aaron Perry"/>
    <x v="0"/>
    <s v="Mestrado"/>
    <s v="Negócios"/>
    <x v="0"/>
    <d v="1974-02-23T00:00:00"/>
    <x v="0"/>
    <x v="1"/>
    <n v="35.9"/>
    <n v="51"/>
    <x v="2"/>
  </r>
  <r>
    <n v="57970733283"/>
    <s v="Thiago Barbosa"/>
    <x v="0"/>
    <s v="Superior"/>
    <s v="Esportes"/>
    <x v="0"/>
    <d v="1965-11-15T00:00:00"/>
    <x v="0"/>
    <x v="2"/>
    <n v="9.9"/>
    <n v="60"/>
    <x v="0"/>
  </r>
  <r>
    <n v="58079835440"/>
    <s v="Eduardo Nunez"/>
    <x v="0"/>
    <s v="Superior"/>
    <s v="Negócios"/>
    <x v="1"/>
    <d v="1966-04-12T00:00:00"/>
    <x v="0"/>
    <x v="2"/>
    <n v="9.9"/>
    <n v="59"/>
    <x v="0"/>
  </r>
  <r>
    <n v="58289445241"/>
    <s v="Javier Peralta"/>
    <x v="0"/>
    <s v="Pós-Graduação"/>
    <s v="Agronegócio"/>
    <x v="2"/>
    <d v="1988-07-25T00:00:00"/>
    <x v="0"/>
    <x v="1"/>
    <n v="35.9"/>
    <n v="37"/>
    <x v="3"/>
  </r>
  <r>
    <n v="58346333965"/>
    <s v="Emma Johnson"/>
    <x v="1"/>
    <s v="Superior"/>
    <s v="Agronegócio"/>
    <x v="0"/>
    <d v="1969-07-15T00:00:00"/>
    <x v="0"/>
    <x v="1"/>
    <n v="35.9"/>
    <n v="56"/>
    <x v="0"/>
  </r>
  <r>
    <n v="58366156412"/>
    <s v="Bruno Almeida"/>
    <x v="0"/>
    <s v="Pós-Graduação"/>
    <s v="Economia"/>
    <x v="2"/>
    <d v="1987-10-29T00:00:00"/>
    <x v="0"/>
    <x v="0"/>
    <n v="29.9"/>
    <n v="38"/>
    <x v="3"/>
  </r>
  <r>
    <n v="58438486574"/>
    <s v="Valeria Pena"/>
    <x v="1"/>
    <s v="Superior"/>
    <s v="Finanças"/>
    <x v="1"/>
    <d v="1984-08-24T00:00:00"/>
    <x v="0"/>
    <x v="2"/>
    <n v="9.9"/>
    <n v="41"/>
    <x v="3"/>
  </r>
  <r>
    <n v="58546694716"/>
    <s v="Bernardo Oliveira"/>
    <x v="0"/>
    <s v="Doutorado"/>
    <s v="Economia"/>
    <x v="1"/>
    <d v="1981-01-27T00:00:00"/>
    <x v="0"/>
    <x v="1"/>
    <n v="35.9"/>
    <n v="44"/>
    <x v="2"/>
  </r>
  <r>
    <n v="58668298672"/>
    <s v="Emerson Almeida"/>
    <x v="0"/>
    <s v="Superior"/>
    <s v="Negócios"/>
    <x v="1"/>
    <d v="1993-07-21T00:00:00"/>
    <x v="0"/>
    <x v="3"/>
    <n v="79.900000000000006"/>
    <n v="32"/>
    <x v="1"/>
  </r>
  <r>
    <n v="58747813272"/>
    <s v="Lucas Fernandes"/>
    <x v="0"/>
    <s v="Superior"/>
    <s v="Economia"/>
    <x v="0"/>
    <d v="1979-05-17T00:00:00"/>
    <x v="1"/>
    <x v="1"/>
    <n v="35.9"/>
    <n v="46"/>
    <x v="2"/>
  </r>
  <r>
    <n v="58903912727"/>
    <s v="William Fernandes"/>
    <x v="0"/>
    <s v="Ensino Médio"/>
    <s v="Esportes"/>
    <x v="0"/>
    <d v="1973-11-08T00:00:00"/>
    <x v="2"/>
    <x v="0"/>
    <n v="29.9"/>
    <n v="52"/>
    <x v="2"/>
  </r>
  <r>
    <n v="58944256865"/>
    <s v="José Santos"/>
    <x v="0"/>
    <s v="Pós-Graduação"/>
    <s v="Negócios"/>
    <x v="0"/>
    <d v="1999-08-24T00:00:00"/>
    <x v="3"/>
    <x v="2"/>
    <n v="9.9"/>
    <n v="26"/>
    <x v="1"/>
  </r>
  <r>
    <n v="59003331678"/>
    <s v="Ricardo Barbosa"/>
    <x v="0"/>
    <s v="Superior"/>
    <s v="Esportes"/>
    <x v="2"/>
    <d v="1988-01-10T00:00:00"/>
    <x v="3"/>
    <x v="2"/>
    <n v="9.9"/>
    <n v="37"/>
    <x v="3"/>
  </r>
  <r>
    <n v="59016888278"/>
    <s v="Carolina Lima"/>
    <x v="1"/>
    <s v="Ensino Médio"/>
    <s v="Negócios"/>
    <x v="1"/>
    <d v="1985-03-20T00:00:00"/>
    <x v="3"/>
    <x v="2"/>
    <n v="9.9"/>
    <n v="40"/>
    <x v="3"/>
  </r>
  <r>
    <n v="59017936332"/>
    <s v="Addison Ward"/>
    <x v="0"/>
    <s v="Superior"/>
    <s v="Economia"/>
    <x v="2"/>
    <d v="1975-08-16T00:00:00"/>
    <x v="3"/>
    <x v="1"/>
    <n v="35.9"/>
    <n v="50"/>
    <x v="2"/>
  </r>
  <r>
    <n v="59510083298"/>
    <s v="Matheus Almeida Santos"/>
    <x v="0"/>
    <s v="Ensino Médio"/>
    <s v="Negócios"/>
    <x v="0"/>
    <d v="1961-08-24T00:00:00"/>
    <x v="3"/>
    <x v="0"/>
    <n v="29.9"/>
    <n v="64"/>
    <x v="0"/>
  </r>
  <r>
    <n v="59616857954"/>
    <s v="Nora Collins"/>
    <x v="1"/>
    <s v="Superior"/>
    <s v="Esportes"/>
    <x v="0"/>
    <d v="1977-12-23T00:00:00"/>
    <x v="3"/>
    <x v="2"/>
    <n v="9.9"/>
    <n v="47"/>
    <x v="2"/>
  </r>
  <r>
    <n v="59825274523"/>
    <s v="José da Silva"/>
    <x v="0"/>
    <s v="Mestrado"/>
    <s v="Agronegócio"/>
    <x v="2"/>
    <d v="1981-11-24T00:00:00"/>
    <x v="4"/>
    <x v="2"/>
    <n v="9.9"/>
    <n v="44"/>
    <x v="2"/>
  </r>
  <r>
    <n v="59847163476"/>
    <s v="Jonathan Phillips"/>
    <x v="0"/>
    <s v="Superior"/>
    <s v="Política"/>
    <x v="1"/>
    <d v="1977-01-13T00:00:00"/>
    <x v="0"/>
    <x v="3"/>
    <n v="79.900000000000006"/>
    <n v="48"/>
    <x v="2"/>
  </r>
  <r>
    <n v="60015297037"/>
    <s v="Rafael Gomes"/>
    <x v="0"/>
    <s v="Mestrado"/>
    <s v="Negócios"/>
    <x v="0"/>
    <d v="1993-10-25T00:00:00"/>
    <x v="0"/>
    <x v="0"/>
    <n v="29.9"/>
    <n v="32"/>
    <x v="1"/>
  </r>
  <r>
    <n v="60024137404"/>
    <s v="Lorena Paredes"/>
    <x v="1"/>
    <s v="Ensino Médio"/>
    <s v="Negócios"/>
    <x v="0"/>
    <d v="1970-12-13T00:00:00"/>
    <x v="0"/>
    <x v="2"/>
    <n v="9.9"/>
    <n v="55"/>
    <x v="0"/>
  </r>
  <r>
    <n v="60051549640"/>
    <s v="Amanda Souza"/>
    <x v="1"/>
    <s v="Superior"/>
    <s v="Economia"/>
    <x v="1"/>
    <d v="1966-07-18T00:00:00"/>
    <x v="0"/>
    <x v="0"/>
    <n v="29.9"/>
    <n v="59"/>
    <x v="0"/>
  </r>
  <r>
    <n v="60149753821"/>
    <s v="William Santos"/>
    <x v="0"/>
    <s v="Pós-Graduação"/>
    <s v="Economia"/>
    <x v="2"/>
    <d v="1975-01-22T00:00:00"/>
    <x v="0"/>
    <x v="2"/>
    <n v="9.9"/>
    <n v="50"/>
    <x v="2"/>
  </r>
  <r>
    <n v="60183693472"/>
    <s v="Bernardo Silva"/>
    <x v="0"/>
    <s v="Ensino Médio"/>
    <s v="Agronegócio"/>
    <x v="2"/>
    <d v="1984-04-25T00:00:00"/>
    <x v="5"/>
    <x v="3"/>
    <n v="79.900000000000006"/>
    <n v="41"/>
    <x v="3"/>
  </r>
  <r>
    <n v="60235696152"/>
    <s v="Emerson Costa"/>
    <x v="0"/>
    <s v="Mestrado"/>
    <s v="Esportes"/>
    <x v="2"/>
    <d v="1966-02-16T00:00:00"/>
    <x v="1"/>
    <x v="2"/>
    <n v="9.9"/>
    <n v="59"/>
    <x v="0"/>
  </r>
  <r>
    <n v="60525979542"/>
    <s v="Pedro Costa"/>
    <x v="0"/>
    <s v="Ensino Médio"/>
    <s v="Negócios"/>
    <x v="0"/>
    <d v="1995-06-12T00:00:00"/>
    <x v="6"/>
    <x v="0"/>
    <n v="29.9"/>
    <n v="30"/>
    <x v="1"/>
  </r>
  <r>
    <n v="60989752820"/>
    <s v="Cameron Coleman"/>
    <x v="0"/>
    <s v="Superior"/>
    <s v="Negócios"/>
    <x v="0"/>
    <d v="1991-03-31T00:00:00"/>
    <x v="2"/>
    <x v="2"/>
    <n v="9.9"/>
    <n v="34"/>
    <x v="1"/>
  </r>
  <r>
    <n v="61010920820"/>
    <s v="Marcelo Santos"/>
    <x v="0"/>
    <s v="Superior"/>
    <s v="Esportes"/>
    <x v="0"/>
    <d v="1978-08-03T00:00:00"/>
    <x v="7"/>
    <x v="2"/>
    <n v="9.9"/>
    <n v="47"/>
    <x v="2"/>
  </r>
  <r>
    <n v="61123160920"/>
    <s v="Ricardo Lara"/>
    <x v="0"/>
    <s v="Superior"/>
    <s v="Economia"/>
    <x v="0"/>
    <d v="1985-02-14T00:00:00"/>
    <x v="5"/>
    <x v="1"/>
    <n v="35.9"/>
    <n v="40"/>
    <x v="3"/>
  </r>
  <r>
    <n v="61998180036"/>
    <s v="Evelyn Walker"/>
    <x v="1"/>
    <s v="Superior"/>
    <s v="Economia"/>
    <x v="0"/>
    <d v="1971-05-14T00:00:00"/>
    <x v="4"/>
    <x v="2"/>
    <n v="9.9"/>
    <n v="54"/>
    <x v="0"/>
  </r>
  <r>
    <n v="62050521447"/>
    <s v="Amanda Oliveira"/>
    <x v="1"/>
    <s v="Doutorado"/>
    <s v="Negócios"/>
    <x v="0"/>
    <d v="1984-02-06T00:00:00"/>
    <x v="3"/>
    <x v="2"/>
    <n v="9.9"/>
    <n v="41"/>
    <x v="3"/>
  </r>
  <r>
    <n v="62673271781"/>
    <s v="Sofia Velez"/>
    <x v="1"/>
    <s v="Doutorado"/>
    <s v="Finanças"/>
    <x v="0"/>
    <d v="1992-04-09T00:00:00"/>
    <x v="5"/>
    <x v="0"/>
    <n v="29.9"/>
    <n v="33"/>
    <x v="1"/>
  </r>
  <r>
    <n v="63042983789"/>
    <s v="Raul Dominguez"/>
    <x v="0"/>
    <s v="Superior"/>
    <s v="Agronegócio"/>
    <x v="2"/>
    <d v="1989-06-04T00:00:00"/>
    <x v="4"/>
    <x v="2"/>
    <n v="9.9"/>
    <n v="36"/>
    <x v="3"/>
  </r>
  <r>
    <n v="63194018864"/>
    <s v="Scarlett Mitchell"/>
    <x v="0"/>
    <s v="Pós-Graduação"/>
    <s v="Economia"/>
    <x v="2"/>
    <d v="1960-08-19T00:00:00"/>
    <x v="3"/>
    <x v="2"/>
    <n v="9.9"/>
    <n v="65"/>
    <x v="0"/>
  </r>
  <r>
    <n v="63430108478"/>
    <s v="Vilma Pereira"/>
    <x v="1"/>
    <s v="Ensino Médio"/>
    <s v="Finanças"/>
    <x v="0"/>
    <d v="1972-05-04T00:00:00"/>
    <x v="0"/>
    <x v="2"/>
    <n v="9.9"/>
    <n v="53"/>
    <x v="2"/>
  </r>
  <r>
    <n v="63534216354"/>
    <s v="Isabella Taylor"/>
    <x v="1"/>
    <s v="Superior"/>
    <s v="Economia"/>
    <x v="0"/>
    <d v="1978-12-17T00:00:00"/>
    <x v="0"/>
    <x v="2"/>
    <n v="9.9"/>
    <n v="46"/>
    <x v="2"/>
  </r>
  <r>
    <n v="63568912225"/>
    <s v="Renata Oliveira"/>
    <x v="1"/>
    <s v="Ensino Médio"/>
    <s v="Negócios"/>
    <x v="1"/>
    <d v="1975-02-19T00:00:00"/>
    <x v="0"/>
    <x v="2"/>
    <n v="9.9"/>
    <n v="50"/>
    <x v="2"/>
  </r>
  <r>
    <n v="63795122122"/>
    <s v="Autumn Brooks"/>
    <x v="0"/>
    <s v="Pós-Graduação"/>
    <s v="Economia"/>
    <x v="1"/>
    <d v="1993-05-18T00:00:00"/>
    <x v="0"/>
    <x v="2"/>
    <n v="9.9"/>
    <n v="32"/>
    <x v="1"/>
  </r>
  <r>
    <n v="64130526083"/>
    <s v="Pedro Rodrigues Martins"/>
    <x v="0"/>
    <s v="Pós-Graduação"/>
    <s v="Esportes"/>
    <x v="0"/>
    <d v="1984-11-15T00:00:00"/>
    <x v="0"/>
    <x v="0"/>
    <n v="29.9"/>
    <n v="41"/>
    <x v="3"/>
  </r>
  <r>
    <n v="64350773035"/>
    <s v="Joshua Reed"/>
    <x v="0"/>
    <s v="Pós-Graduação"/>
    <s v="Economia"/>
    <x v="2"/>
    <d v="1972-01-27T00:00:00"/>
    <x v="0"/>
    <x v="0"/>
    <n v="29.9"/>
    <n v="53"/>
    <x v="2"/>
  </r>
  <r>
    <n v="64406878055"/>
    <s v="Giovanna Oliveira Martins"/>
    <x v="1"/>
    <s v="Ensino Médio"/>
    <s v="Economia"/>
    <x v="1"/>
    <d v="1983-05-18T00:00:00"/>
    <x v="0"/>
    <x v="0"/>
    <n v="29.9"/>
    <n v="42"/>
    <x v="3"/>
  </r>
  <r>
    <n v="64709618097"/>
    <s v="Vilma Fernandes"/>
    <x v="1"/>
    <s v="Superior"/>
    <s v="Esportes"/>
    <x v="2"/>
    <d v="1965-10-04T00:00:00"/>
    <x v="0"/>
    <x v="0"/>
    <n v="29.9"/>
    <n v="60"/>
    <x v="0"/>
  </r>
  <r>
    <n v="64859560508"/>
    <s v="Penelope Bailey"/>
    <x v="1"/>
    <s v="Superior"/>
    <s v="Economia"/>
    <x v="2"/>
    <d v="1971-01-04T00:00:00"/>
    <x v="0"/>
    <x v="0"/>
    <n v="29.9"/>
    <n v="54"/>
    <x v="0"/>
  </r>
  <r>
    <n v="64965174741"/>
    <s v="Patricia Medina"/>
    <x v="1"/>
    <s v="Superior"/>
    <s v="Economia"/>
    <x v="0"/>
    <d v="1972-02-02T00:00:00"/>
    <x v="1"/>
    <x v="2"/>
    <n v="9.9"/>
    <n v="53"/>
    <x v="2"/>
  </r>
  <r>
    <n v="65014260265"/>
    <s v="Miguel Rivera"/>
    <x v="0"/>
    <s v="Superior"/>
    <s v="Agronegócio"/>
    <x v="0"/>
    <d v="1978-02-06T00:00:00"/>
    <x v="2"/>
    <x v="3"/>
    <n v="79.900000000000006"/>
    <n v="47"/>
    <x v="2"/>
  </r>
  <r>
    <n v="65252032106"/>
    <s v="Pedro Gomes"/>
    <x v="0"/>
    <s v="Superior"/>
    <s v="Negócios"/>
    <x v="0"/>
    <d v="1970-01-29T00:00:00"/>
    <x v="3"/>
    <x v="0"/>
    <n v="29.9"/>
    <n v="55"/>
    <x v="0"/>
  </r>
  <r>
    <n v="65320164752"/>
    <s v="Lucas Oliveira"/>
    <x v="0"/>
    <s v="Ensino Médio"/>
    <s v="Esportes"/>
    <x v="0"/>
    <d v="1963-05-16T00:00:00"/>
    <x v="3"/>
    <x v="2"/>
    <n v="9.9"/>
    <n v="62"/>
    <x v="0"/>
  </r>
  <r>
    <n v="65344117273"/>
    <s v="José Fernandes"/>
    <x v="0"/>
    <s v="Superior"/>
    <s v="Negócios"/>
    <x v="1"/>
    <d v="1969-07-12T00:00:00"/>
    <x v="3"/>
    <x v="1"/>
    <n v="35.9"/>
    <n v="56"/>
    <x v="0"/>
  </r>
  <r>
    <n v="65345196819"/>
    <s v="Owen Watson"/>
    <x v="0"/>
    <s v="Superior"/>
    <s v="Negócios"/>
    <x v="1"/>
    <d v="1989-04-29T00:00:00"/>
    <x v="3"/>
    <x v="2"/>
    <n v="9.9"/>
    <n v="36"/>
    <x v="3"/>
  </r>
  <r>
    <n v="65384833003"/>
    <s v="Emerson Rodrigues"/>
    <x v="0"/>
    <s v="Pós-Graduação"/>
    <s v="Finanças"/>
    <x v="0"/>
    <d v="1988-03-20T00:00:00"/>
    <x v="3"/>
    <x v="0"/>
    <n v="29.9"/>
    <n v="37"/>
    <x v="3"/>
  </r>
  <r>
    <n v="65490123014"/>
    <s v="Diego Ramirez"/>
    <x v="0"/>
    <s v="Doutorado"/>
    <s v="Negócios"/>
    <x v="0"/>
    <d v="1981-08-12T00:00:00"/>
    <x v="3"/>
    <x v="2"/>
    <n v="9.9"/>
    <n v="44"/>
    <x v="2"/>
  </r>
  <r>
    <n v="65784346414"/>
    <s v="Rafael Martins"/>
    <x v="0"/>
    <s v="Superior"/>
    <s v="Agronegócio"/>
    <x v="0"/>
    <d v="1999-10-20T00:00:00"/>
    <x v="4"/>
    <x v="3"/>
    <n v="79.900000000000006"/>
    <n v="26"/>
    <x v="1"/>
  </r>
  <r>
    <n v="66053578513"/>
    <s v="Guadalupe Munoz"/>
    <x v="1"/>
    <s v="Doutorado"/>
    <s v="Negócios"/>
    <x v="0"/>
    <d v="1993-12-31T00:00:00"/>
    <x v="0"/>
    <x v="2"/>
    <n v="9.9"/>
    <n v="31"/>
    <x v="1"/>
  </r>
  <r>
    <n v="66332658626"/>
    <s v="Sandra Costa"/>
    <x v="1"/>
    <s v="Ensino Médio"/>
    <s v="Economia"/>
    <x v="2"/>
    <d v="1964-03-27T00:00:00"/>
    <x v="0"/>
    <x v="0"/>
    <n v="29.9"/>
    <n v="61"/>
    <x v="0"/>
  </r>
  <r>
    <n v="66760582781"/>
    <s v="Bruno Silva"/>
    <x v="0"/>
    <s v="Superior"/>
    <s v="Negócios"/>
    <x v="0"/>
    <d v="1971-11-14T00:00:00"/>
    <x v="0"/>
    <x v="2"/>
    <n v="9.9"/>
    <n v="54"/>
    <x v="0"/>
  </r>
  <r>
    <n v="66893530711"/>
    <s v="Sandra Souza"/>
    <x v="0"/>
    <s v="Superior"/>
    <s v="Negócios"/>
    <x v="0"/>
    <d v="1987-07-17T00:00:00"/>
    <x v="0"/>
    <x v="2"/>
    <n v="9.9"/>
    <n v="38"/>
    <x v="3"/>
  </r>
  <r>
    <n v="67257820477"/>
    <s v="Javier Diaz"/>
    <x v="0"/>
    <s v="Pós-Graduação"/>
    <s v="Negócios"/>
    <x v="0"/>
    <d v="1987-12-03T00:00:00"/>
    <x v="0"/>
    <x v="2"/>
    <n v="9.9"/>
    <n v="38"/>
    <x v="3"/>
  </r>
  <r>
    <n v="67330566972"/>
    <s v="José Rodrigues"/>
    <x v="0"/>
    <s v="Ensino Médio"/>
    <s v="Economia"/>
    <x v="0"/>
    <d v="1971-09-19T00:00:00"/>
    <x v="5"/>
    <x v="0"/>
    <n v="29.9"/>
    <n v="54"/>
    <x v="0"/>
  </r>
  <r>
    <n v="67780271893"/>
    <s v="William Oliveira"/>
    <x v="0"/>
    <s v="Superior"/>
    <s v="Finanças"/>
    <x v="1"/>
    <d v="1991-05-31T00:00:00"/>
    <x v="1"/>
    <x v="0"/>
    <n v="29.9"/>
    <n v="34"/>
    <x v="1"/>
  </r>
  <r>
    <n v="67927286591"/>
    <s v="Jesus Manuel Jimenez"/>
    <x v="0"/>
    <s v="Ensino Médio"/>
    <s v="Agronegócio"/>
    <x v="0"/>
    <d v="1971-08-06T00:00:00"/>
    <x v="6"/>
    <x v="3"/>
    <n v="79.900000000000006"/>
    <n v="54"/>
    <x v="0"/>
  </r>
  <r>
    <n v="68287318390"/>
    <s v="Carolina Valenzuela"/>
    <x v="1"/>
    <s v="Superior"/>
    <s v="Negócios"/>
    <x v="1"/>
    <d v="1986-09-29T00:00:00"/>
    <x v="2"/>
    <x v="3"/>
    <n v="79.900000000000006"/>
    <n v="39"/>
    <x v="3"/>
  </r>
  <r>
    <n v="68419842651"/>
    <s v="Sandra Pereira"/>
    <x v="1"/>
    <s v="Ensino Médio"/>
    <s v="Negócios"/>
    <x v="0"/>
    <d v="1987-09-17T00:00:00"/>
    <x v="7"/>
    <x v="3"/>
    <n v="79.900000000000006"/>
    <n v="38"/>
    <x v="3"/>
  </r>
  <r>
    <n v="68722509568"/>
    <s v="Elizabeth Young"/>
    <x v="1"/>
    <s v="Pós-Graduação"/>
    <s v="Economia"/>
    <x v="0"/>
    <d v="1970-01-24T00:00:00"/>
    <x v="5"/>
    <x v="0"/>
    <n v="29.9"/>
    <n v="55"/>
    <x v="0"/>
  </r>
  <r>
    <n v="68759209105"/>
    <s v="Diana Lopez"/>
    <x v="1"/>
    <s v="Ensino Médio"/>
    <s v="Negócios"/>
    <x v="1"/>
    <d v="1989-04-10T00:00:00"/>
    <x v="4"/>
    <x v="3"/>
    <n v="79.900000000000006"/>
    <n v="36"/>
    <x v="3"/>
  </r>
  <r>
    <n v="68766514941"/>
    <s v="Rita Santos"/>
    <x v="1"/>
    <s v="Ensino Médio"/>
    <s v="Política"/>
    <x v="1"/>
    <d v="1987-03-25T00:00:00"/>
    <x v="3"/>
    <x v="3"/>
    <n v="79.900000000000006"/>
    <n v="38"/>
    <x v="3"/>
  </r>
  <r>
    <n v="69009325528"/>
    <s v="Alejandra Ortega"/>
    <x v="1"/>
    <s v="Ensino Médio"/>
    <s v="Negócios"/>
    <x v="0"/>
    <d v="1983-06-03T00:00:00"/>
    <x v="5"/>
    <x v="1"/>
    <n v="35.9"/>
    <n v="42"/>
    <x v="3"/>
  </r>
  <r>
    <n v="69020558638"/>
    <s v="Daniel Contreras"/>
    <x v="0"/>
    <s v="Ensino Médio"/>
    <s v="Finanças"/>
    <x v="1"/>
    <d v="1983-06-21T00:00:00"/>
    <x v="4"/>
    <x v="0"/>
    <n v="29.9"/>
    <n v="42"/>
    <x v="3"/>
  </r>
  <r>
    <n v="69160901332"/>
    <s v="Luis Reyes"/>
    <x v="0"/>
    <s v="Mestrado"/>
    <s v="Finanças"/>
    <x v="0"/>
    <d v="1982-01-07T00:00:00"/>
    <x v="3"/>
    <x v="2"/>
    <n v="9.9"/>
    <n v="43"/>
    <x v="3"/>
  </r>
  <r>
    <n v="69275333938"/>
    <s v="William Martins"/>
    <x v="0"/>
    <s v="Superior"/>
    <s v="Economia"/>
    <x v="0"/>
    <d v="1974-08-01T00:00:00"/>
    <x v="0"/>
    <x v="1"/>
    <n v="35.9"/>
    <n v="51"/>
    <x v="2"/>
  </r>
  <r>
    <n v="69591068465"/>
    <s v="Elena Cabrera"/>
    <x v="1"/>
    <s v="Superior"/>
    <s v="Economia"/>
    <x v="2"/>
    <d v="1967-07-22T00:00:00"/>
    <x v="0"/>
    <x v="1"/>
    <n v="35.9"/>
    <n v="58"/>
    <x v="0"/>
  </r>
  <r>
    <n v="69711643192"/>
    <s v="Jose Flores"/>
    <x v="0"/>
    <s v="Ensino Médio"/>
    <s v="Negócios"/>
    <x v="1"/>
    <d v="1990-08-02T00:00:00"/>
    <x v="0"/>
    <x v="2"/>
    <n v="9.9"/>
    <n v="35"/>
    <x v="3"/>
  </r>
  <r>
    <n v="69832499336"/>
    <s v="Naomi Carter"/>
    <x v="1"/>
    <s v="Superior"/>
    <s v="Economia"/>
    <x v="0"/>
    <d v="1989-12-27T00:00:00"/>
    <x v="0"/>
    <x v="2"/>
    <n v="9.9"/>
    <n v="35"/>
    <x v="3"/>
  </r>
  <r>
    <n v="69859227518"/>
    <s v="Rita Martins"/>
    <x v="1"/>
    <s v="Superior"/>
    <s v="Economia"/>
    <x v="0"/>
    <d v="1990-10-05T00:00:00"/>
    <x v="0"/>
    <x v="1"/>
    <n v="35.9"/>
    <n v="35"/>
    <x v="3"/>
  </r>
  <r>
    <n v="70125809974"/>
    <s v="Robert Watson"/>
    <x v="0"/>
    <s v="Ensino Médio"/>
    <s v="Finanças"/>
    <x v="0"/>
    <d v="1968-08-10T00:00:00"/>
    <x v="0"/>
    <x v="0"/>
    <n v="29.9"/>
    <n v="57"/>
    <x v="0"/>
  </r>
  <r>
    <n v="70992659687"/>
    <s v="Gabriel Lima Almeida"/>
    <x v="0"/>
    <s v="Superior"/>
    <s v="Agronegócio"/>
    <x v="2"/>
    <d v="1979-09-26T00:00:00"/>
    <x v="0"/>
    <x v="2"/>
    <n v="9.9"/>
    <n v="46"/>
    <x v="2"/>
  </r>
  <r>
    <n v="71237243348"/>
    <s v="Vilma Oliveira"/>
    <x v="1"/>
    <s v="Superior"/>
    <s v="Economia"/>
    <x v="0"/>
    <d v="1985-07-07T00:00:00"/>
    <x v="0"/>
    <x v="2"/>
    <n v="9.9"/>
    <n v="40"/>
    <x v="3"/>
  </r>
  <r>
    <n v="71277357983"/>
    <s v="Bernardo Almeida"/>
    <x v="0"/>
    <s v="Mestrado"/>
    <s v="Finanças"/>
    <x v="0"/>
    <d v="1967-06-10T00:00:00"/>
    <x v="0"/>
    <x v="0"/>
    <n v="29.9"/>
    <n v="58"/>
    <x v="0"/>
  </r>
  <r>
    <n v="71408591056"/>
    <s v="Renata Rodrigues"/>
    <x v="1"/>
    <s v="Pós-Graduação"/>
    <s v="Política"/>
    <x v="2"/>
    <d v="1981-03-01T00:00:00"/>
    <x v="1"/>
    <x v="3"/>
    <n v="79.900000000000006"/>
    <n v="44"/>
    <x v="2"/>
  </r>
  <r>
    <n v="71434327238"/>
    <s v="Antonio Pacheco"/>
    <x v="0"/>
    <s v="Pós-Graduação"/>
    <s v="Finanças"/>
    <x v="0"/>
    <d v="1990-02-22T00:00:00"/>
    <x v="2"/>
    <x v="0"/>
    <n v="29.9"/>
    <n v="35"/>
    <x v="3"/>
  </r>
  <r>
    <n v="71472265989"/>
    <s v="Manuel Jimenez"/>
    <x v="0"/>
    <s v="Superior"/>
    <s v="Negócios"/>
    <x v="1"/>
    <d v="1981-02-09T00:00:00"/>
    <x v="3"/>
    <x v="1"/>
    <n v="35.9"/>
    <n v="44"/>
    <x v="2"/>
  </r>
  <r>
    <n v="71629613903"/>
    <s v="Pedro Santos"/>
    <x v="0"/>
    <s v="Ensino Médio"/>
    <s v="Economia"/>
    <x v="0"/>
    <d v="1999-11-25T00:00:00"/>
    <x v="3"/>
    <x v="1"/>
    <n v="35.9"/>
    <n v="26"/>
    <x v="1"/>
  </r>
  <r>
    <n v="71989553091"/>
    <s v="André Lima"/>
    <x v="0"/>
    <s v="Ensino Médio"/>
    <s v="Economia"/>
    <x v="0"/>
    <d v="1964-05-13T00:00:00"/>
    <x v="3"/>
    <x v="1"/>
    <n v="35.9"/>
    <n v="61"/>
    <x v="0"/>
  </r>
  <r>
    <n v="72103743000"/>
    <s v="Francisco Chavez"/>
    <x v="0"/>
    <s v="Doutorado"/>
    <s v="Economia"/>
    <x v="0"/>
    <d v="1977-04-21T00:00:00"/>
    <x v="3"/>
    <x v="1"/>
    <n v="35.9"/>
    <n v="48"/>
    <x v="2"/>
  </r>
  <r>
    <n v="72578545172"/>
    <s v="Isabela Martins"/>
    <x v="1"/>
    <s v="Pós-Graduação"/>
    <s v="Economia"/>
    <x v="2"/>
    <d v="1981-07-17T00:00:00"/>
    <x v="3"/>
    <x v="0"/>
    <n v="29.9"/>
    <n v="44"/>
    <x v="2"/>
  </r>
  <r>
    <n v="72653571309"/>
    <s v="Harper Reed"/>
    <x v="0"/>
    <s v="Doutorado"/>
    <s v="Economia"/>
    <x v="1"/>
    <d v="1960-03-27T00:00:00"/>
    <x v="3"/>
    <x v="1"/>
    <n v="35.9"/>
    <n v="65"/>
    <x v="0"/>
  </r>
  <r>
    <n v="72680945462"/>
    <s v="Andrew Brooks"/>
    <x v="0"/>
    <s v="Superior"/>
    <s v="Negócios"/>
    <x v="0"/>
    <d v="1991-04-10T00:00:00"/>
    <x v="4"/>
    <x v="2"/>
    <n v="9.9"/>
    <n v="34"/>
    <x v="1"/>
  </r>
  <r>
    <n v="72766768810"/>
    <s v="Maria Vargas"/>
    <x v="1"/>
    <s v="Pós-Graduação"/>
    <s v="Economia"/>
    <x v="0"/>
    <d v="1982-09-20T00:00:00"/>
    <x v="0"/>
    <x v="0"/>
    <n v="29.9"/>
    <n v="43"/>
    <x v="3"/>
  </r>
  <r>
    <n v="72900858413"/>
    <s v="Dylan Bell"/>
    <x v="0"/>
    <s v="Mestrado"/>
    <s v="Finanças"/>
    <x v="0"/>
    <d v="1981-10-14T00:00:00"/>
    <x v="0"/>
    <x v="0"/>
    <n v="29.9"/>
    <n v="44"/>
    <x v="2"/>
  </r>
  <r>
    <n v="73430417324"/>
    <s v="Emerson Santos"/>
    <x v="0"/>
    <s v="Superior"/>
    <s v="Economia"/>
    <x v="0"/>
    <d v="1982-01-16T00:00:00"/>
    <x v="0"/>
    <x v="0"/>
    <n v="29.9"/>
    <n v="43"/>
    <x v="3"/>
  </r>
  <r>
    <n v="73629904035"/>
    <s v="Claire Long"/>
    <x v="1"/>
    <s v="Ensino Médio"/>
    <s v="Economia"/>
    <x v="0"/>
    <d v="1983-06-23T00:00:00"/>
    <x v="0"/>
    <x v="1"/>
    <n v="35.9"/>
    <n v="42"/>
    <x v="3"/>
  </r>
  <r>
    <n v="73925142939"/>
    <s v="Pedro Oliveira"/>
    <x v="0"/>
    <s v="Pós-Graduação"/>
    <s v="Política"/>
    <x v="2"/>
    <d v="1997-07-29T00:00:00"/>
    <x v="0"/>
    <x v="3"/>
    <n v="79.900000000000006"/>
    <n v="28"/>
    <x v="1"/>
  </r>
  <r>
    <n v="73947215075"/>
    <s v="Antônio Silva"/>
    <x v="0"/>
    <s v="Ensino Médio"/>
    <s v="Agronegócio"/>
    <x v="0"/>
    <d v="1976-06-06T00:00:00"/>
    <x v="5"/>
    <x v="3"/>
    <n v="79.900000000000006"/>
    <n v="49"/>
    <x v="2"/>
  </r>
  <r>
    <n v="74365444411"/>
    <s v="Oscar Ruiz"/>
    <x v="0"/>
    <s v="Pós-Graduação"/>
    <s v="Esportes"/>
    <x v="0"/>
    <d v="1967-11-24T00:00:00"/>
    <x v="1"/>
    <x v="2"/>
    <n v="9.9"/>
    <n v="58"/>
    <x v="0"/>
  </r>
  <r>
    <n v="74394995473"/>
    <s v="Rafael Rodrigues"/>
    <x v="0"/>
    <s v="Doutorado"/>
    <s v="Finanças"/>
    <x v="0"/>
    <d v="1984-03-10T00:00:00"/>
    <x v="6"/>
    <x v="0"/>
    <n v="29.9"/>
    <n v="41"/>
    <x v="3"/>
  </r>
  <r>
    <n v="74716763098"/>
    <s v="Beatriz Ramos"/>
    <x v="1"/>
    <s v="Mestrado"/>
    <s v="Finanças"/>
    <x v="0"/>
    <d v="1976-09-05T00:00:00"/>
    <x v="2"/>
    <x v="2"/>
    <n v="9.9"/>
    <n v="49"/>
    <x v="2"/>
  </r>
  <r>
    <n v="75105956259"/>
    <s v="Maria Alencar"/>
    <x v="1"/>
    <s v="Ensino Médio"/>
    <s v="Política"/>
    <x v="1"/>
    <d v="1994-03-01T00:00:00"/>
    <x v="7"/>
    <x v="3"/>
    <n v="79.900000000000006"/>
    <n v="31"/>
    <x v="1"/>
  </r>
  <r>
    <n v="75196774664"/>
    <s v="Bruno Fernandes"/>
    <x v="0"/>
    <s v="Superior"/>
    <s v="Agronegócio"/>
    <x v="0"/>
    <d v="1960-10-18T00:00:00"/>
    <x v="5"/>
    <x v="1"/>
    <n v="35.9"/>
    <n v="65"/>
    <x v="0"/>
  </r>
  <r>
    <n v="75490586916"/>
    <s v="William Gomes"/>
    <x v="0"/>
    <s v="Ensino Médio"/>
    <s v="Política"/>
    <x v="1"/>
    <d v="1989-05-13T00:00:00"/>
    <x v="4"/>
    <x v="3"/>
    <n v="79.900000000000006"/>
    <n v="36"/>
    <x v="3"/>
  </r>
  <r>
    <n v="75500284653"/>
    <s v="Gabriel Lima"/>
    <x v="0"/>
    <s v="Superior"/>
    <s v="Agronegócio"/>
    <x v="0"/>
    <d v="1971-11-25T00:00:00"/>
    <x v="3"/>
    <x v="1"/>
    <n v="35.9"/>
    <n v="54"/>
    <x v="0"/>
  </r>
  <r>
    <n v="75640893297"/>
    <s v="Carolina Gomes Rodrigues"/>
    <x v="1"/>
    <s v="Doutorado"/>
    <s v="Negócios"/>
    <x v="0"/>
    <d v="1968-11-12T00:00:00"/>
    <x v="5"/>
    <x v="2"/>
    <n v="9.9"/>
    <n v="57"/>
    <x v="0"/>
  </r>
  <r>
    <n v="75647720892"/>
    <s v="José Oliveira"/>
    <x v="0"/>
    <s v="Mestrado"/>
    <s v="Esportes"/>
    <x v="2"/>
    <d v="1974-05-04T00:00:00"/>
    <x v="4"/>
    <x v="2"/>
    <n v="9.9"/>
    <n v="51"/>
    <x v="2"/>
  </r>
  <r>
    <n v="75720068227"/>
    <s v="Eliana Ramirez"/>
    <x v="1"/>
    <s v="Pós-Graduação"/>
    <s v="Negócios"/>
    <x v="1"/>
    <d v="1988-07-05T00:00:00"/>
    <x v="3"/>
    <x v="0"/>
    <n v="29.9"/>
    <n v="37"/>
    <x v="3"/>
  </r>
  <r>
    <n v="75883715598"/>
    <s v="Gabriela Mendoza"/>
    <x v="0"/>
    <s v="Pós-Graduação"/>
    <s v="Esportes"/>
    <x v="1"/>
    <d v="1962-08-09T00:00:00"/>
    <x v="0"/>
    <x v="2"/>
    <n v="9.9"/>
    <n v="63"/>
    <x v="0"/>
  </r>
  <r>
    <n v="75886580216"/>
    <s v="William Almeida"/>
    <x v="0"/>
    <s v="Pós-Graduação"/>
    <s v="Negócios"/>
    <x v="0"/>
    <d v="1974-09-17T00:00:00"/>
    <x v="0"/>
    <x v="2"/>
    <n v="9.9"/>
    <n v="51"/>
    <x v="2"/>
  </r>
  <r>
    <n v="76227666348"/>
    <s v="Sandra Gomes"/>
    <x v="1"/>
    <s v="Superior"/>
    <s v="Finanças"/>
    <x v="1"/>
    <d v="1992-01-18T00:00:00"/>
    <x v="0"/>
    <x v="0"/>
    <n v="29.9"/>
    <n v="33"/>
    <x v="1"/>
  </r>
  <r>
    <n v="76419222774"/>
    <s v="Sandra Santos"/>
    <x v="1"/>
    <s v="Superior"/>
    <s v="Agronegócio"/>
    <x v="0"/>
    <d v="1970-08-11T00:00:00"/>
    <x v="0"/>
    <x v="2"/>
    <n v="9.9"/>
    <n v="55"/>
    <x v="0"/>
  </r>
  <r>
    <n v="76513561348"/>
    <s v="Carlos Lopez"/>
    <x v="0"/>
    <s v="Superior"/>
    <s v="Negócios"/>
    <x v="1"/>
    <d v="1986-09-12T00:00:00"/>
    <x v="0"/>
    <x v="0"/>
    <n v="29.9"/>
    <n v="39"/>
    <x v="3"/>
  </r>
  <r>
    <n v="76617239194"/>
    <s v="Laura Mendes"/>
    <x v="1"/>
    <s v="Superior"/>
    <s v="Negócios"/>
    <x v="1"/>
    <d v="1974-06-19T00:00:00"/>
    <x v="0"/>
    <x v="0"/>
    <n v="29.9"/>
    <n v="51"/>
    <x v="2"/>
  </r>
  <r>
    <n v="76661469865"/>
    <s v="Bernardo Rodrigues"/>
    <x v="0"/>
    <s v="Superior"/>
    <s v="Economia"/>
    <x v="2"/>
    <d v="1994-08-25T00:00:00"/>
    <x v="0"/>
    <x v="2"/>
    <n v="9.9"/>
    <n v="31"/>
    <x v="1"/>
  </r>
  <r>
    <n v="76755306471"/>
    <s v="Rita Costa"/>
    <x v="1"/>
    <s v="Ensino Médio"/>
    <s v="Economia"/>
    <x v="0"/>
    <d v="1983-03-15T00:00:00"/>
    <x v="0"/>
    <x v="2"/>
    <n v="9.9"/>
    <n v="42"/>
    <x v="3"/>
  </r>
  <r>
    <n v="76981963636"/>
    <s v="Adriana Silva"/>
    <x v="1"/>
    <s v="Superior"/>
    <s v="Agronegócio"/>
    <x v="0"/>
    <d v="1975-09-25T00:00:00"/>
    <x v="0"/>
    <x v="1"/>
    <n v="35.9"/>
    <n v="50"/>
    <x v="2"/>
  </r>
  <r>
    <n v="77035928818"/>
    <s v="Emma Cruz"/>
    <x v="1"/>
    <s v="Superior"/>
    <s v="Esportes"/>
    <x v="0"/>
    <d v="1969-01-20T00:00:00"/>
    <x v="1"/>
    <x v="0"/>
    <n v="29.9"/>
    <n v="56"/>
    <x v="0"/>
  </r>
  <r>
    <n v="77297614799"/>
    <s v="Beatriz Castro"/>
    <x v="1"/>
    <s v="Pós-Graduação"/>
    <s v="Negócios"/>
    <x v="0"/>
    <d v="1998-09-08T00:00:00"/>
    <x v="2"/>
    <x v="0"/>
    <n v="29.9"/>
    <n v="27"/>
    <x v="1"/>
  </r>
  <r>
    <n v="77353989708"/>
    <s v="Bruno Oliveira"/>
    <x v="0"/>
    <s v="Pós-Graduação"/>
    <s v="Agronegócio"/>
    <x v="1"/>
    <d v="1968-04-11T00:00:00"/>
    <x v="3"/>
    <x v="2"/>
    <n v="9.9"/>
    <n v="57"/>
    <x v="0"/>
  </r>
  <r>
    <n v="77517679683"/>
    <s v="Lincoln Powell"/>
    <x v="0"/>
    <s v="Superior"/>
    <s v="Economia"/>
    <x v="1"/>
    <d v="1991-08-23T00:00:00"/>
    <x v="3"/>
    <x v="0"/>
    <n v="29.9"/>
    <n v="34"/>
    <x v="1"/>
  </r>
  <r>
    <n v="77576268900"/>
    <s v="Mariana Silva"/>
    <x v="1"/>
    <s v="Superior"/>
    <s v="Negócios"/>
    <x v="1"/>
    <d v="1984-12-21T00:00:00"/>
    <x v="3"/>
    <x v="2"/>
    <n v="9.9"/>
    <n v="40"/>
    <x v="3"/>
  </r>
  <r>
    <n v="77956710912"/>
    <s v="Miguel Perez"/>
    <x v="0"/>
    <s v="Pós-Graduação"/>
    <s v="Finanças"/>
    <x v="2"/>
    <d v="1974-06-03T00:00:00"/>
    <x v="3"/>
    <x v="0"/>
    <n v="29.9"/>
    <n v="51"/>
    <x v="2"/>
  </r>
  <r>
    <n v="78203672011"/>
    <s v="Rafael Santos"/>
    <x v="0"/>
    <s v="Ensino Médio"/>
    <s v="Agronegócio"/>
    <x v="0"/>
    <d v="1979-04-25T00:00:00"/>
    <x v="3"/>
    <x v="1"/>
    <n v="35.9"/>
    <n v="46"/>
    <x v="2"/>
  </r>
  <r>
    <n v="78384232915"/>
    <s v="Mariana Martins"/>
    <x v="1"/>
    <s v="Superior"/>
    <s v="Economia"/>
    <x v="0"/>
    <d v="1981-08-02T00:00:00"/>
    <x v="3"/>
    <x v="2"/>
    <n v="9.9"/>
    <n v="44"/>
    <x v="2"/>
  </r>
  <r>
    <n v="78732548500"/>
    <s v="Amelia Garcia"/>
    <x v="1"/>
    <s v="Ensino Médio"/>
    <s v="Esportes"/>
    <x v="2"/>
    <d v="1991-07-30T00:00:00"/>
    <x v="4"/>
    <x v="0"/>
    <n v="29.9"/>
    <n v="34"/>
    <x v="1"/>
  </r>
  <r>
    <n v="78770918998"/>
    <s v="Rita Pereira"/>
    <x v="1"/>
    <s v="Doutorado"/>
    <s v="Negócios"/>
    <x v="0"/>
    <d v="1989-10-14T00:00:00"/>
    <x v="0"/>
    <x v="2"/>
    <n v="9.9"/>
    <n v="36"/>
    <x v="3"/>
  </r>
  <r>
    <n v="78801671422"/>
    <s v="Júlia Martins"/>
    <x v="1"/>
    <s v="Ensino Médio"/>
    <s v="Finanças"/>
    <x v="1"/>
    <d v="1984-05-02T00:00:00"/>
    <x v="0"/>
    <x v="0"/>
    <n v="29.9"/>
    <n v="41"/>
    <x v="3"/>
  </r>
  <r>
    <n v="78983767645"/>
    <s v="Leah Sanders"/>
    <x v="1"/>
    <s v="Superior"/>
    <s v="Economia"/>
    <x v="0"/>
    <d v="1977-11-04T00:00:00"/>
    <x v="0"/>
    <x v="1"/>
    <n v="35.9"/>
    <n v="48"/>
    <x v="2"/>
  </r>
  <r>
    <n v="79152697017"/>
    <s v="Lucia Sanchez"/>
    <x v="0"/>
    <s v="Superior"/>
    <s v="Negócios"/>
    <x v="2"/>
    <d v="1987-02-07T00:00:00"/>
    <x v="0"/>
    <x v="0"/>
    <n v="29.9"/>
    <n v="38"/>
    <x v="3"/>
  </r>
  <r>
    <n v="79191835030"/>
    <s v="Vilma Santos"/>
    <x v="1"/>
    <s v="Ensino Médio"/>
    <s v="Finanças"/>
    <x v="1"/>
    <d v="1983-12-14T00:00:00"/>
    <x v="0"/>
    <x v="0"/>
    <n v="29.9"/>
    <n v="42"/>
    <x v="3"/>
  </r>
  <r>
    <n v="79692046981"/>
    <s v="Mateus Almeida"/>
    <x v="0"/>
    <s v="Superior"/>
    <s v="Economia"/>
    <x v="0"/>
    <d v="1976-10-19T00:00:00"/>
    <x v="5"/>
    <x v="1"/>
    <n v="35.9"/>
    <n v="49"/>
    <x v="2"/>
  </r>
  <r>
    <n v="80034583746"/>
    <s v="Ricardo Navarro"/>
    <x v="0"/>
    <s v="Superior"/>
    <s v="Finanças"/>
    <x v="0"/>
    <d v="1975-03-25T00:00:00"/>
    <x v="1"/>
    <x v="0"/>
    <n v="29.9"/>
    <n v="50"/>
    <x v="2"/>
  </r>
  <r>
    <n v="80299981987"/>
    <s v="Isabela Martins Pereira"/>
    <x v="1"/>
    <s v="Superior"/>
    <s v="Finanças"/>
    <x v="1"/>
    <d v="1992-07-06T00:00:00"/>
    <x v="6"/>
    <x v="2"/>
    <n v="9.9"/>
    <n v="33"/>
    <x v="1"/>
  </r>
  <r>
    <n v="80307995495"/>
    <s v="Sophia Wilson"/>
    <x v="1"/>
    <s v="Superior"/>
    <s v="Agronegócio"/>
    <x v="2"/>
    <d v="1969-07-14T00:00:00"/>
    <x v="2"/>
    <x v="3"/>
    <n v="79.900000000000006"/>
    <n v="56"/>
    <x v="0"/>
  </r>
  <r>
    <n v="80343263498"/>
    <s v="Rafael Ferreira Lima"/>
    <x v="0"/>
    <s v="Ensino Médio"/>
    <s v="Economia"/>
    <x v="0"/>
    <d v="1963-08-31T00:00:00"/>
    <x v="7"/>
    <x v="1"/>
    <n v="35.9"/>
    <n v="62"/>
    <x v="0"/>
  </r>
  <r>
    <n v="80727883222"/>
    <s v="Paula Rojas"/>
    <x v="1"/>
    <s v="Superior"/>
    <s v="Agronegócio"/>
    <x v="2"/>
    <d v="1975-11-28T00:00:00"/>
    <x v="5"/>
    <x v="3"/>
    <n v="79.900000000000006"/>
    <n v="50"/>
    <x v="2"/>
  </r>
  <r>
    <n v="80931859365"/>
    <s v="Guillermo Soto"/>
    <x v="0"/>
    <s v="Ensino Médio"/>
    <s v="Negócios"/>
    <x v="0"/>
    <d v="1984-05-13T00:00:00"/>
    <x v="4"/>
    <x v="0"/>
    <n v="29.9"/>
    <n v="41"/>
    <x v="3"/>
  </r>
  <r>
    <n v="81040031571"/>
    <s v="Cecilia Morales"/>
    <x v="1"/>
    <s v="Pós-Graduação"/>
    <s v="Economia"/>
    <x v="2"/>
    <d v="1964-01-20T00:00:00"/>
    <x v="3"/>
    <x v="0"/>
    <n v="29.9"/>
    <n v="61"/>
    <x v="0"/>
  </r>
  <r>
    <n v="81073311563"/>
    <s v="Rafael Costa"/>
    <x v="0"/>
    <s v="Superior"/>
    <s v="Esportes"/>
    <x v="2"/>
    <d v="1980-10-05T00:00:00"/>
    <x v="5"/>
    <x v="2"/>
    <n v="9.9"/>
    <n v="45"/>
    <x v="2"/>
  </r>
  <r>
    <n v="81254163050"/>
    <s v="Marcelo Silva"/>
    <x v="0"/>
    <s v="Superior"/>
    <s v="Economia"/>
    <x v="0"/>
    <d v="1980-11-29T00:00:00"/>
    <x v="4"/>
    <x v="1"/>
    <n v="35.9"/>
    <n v="45"/>
    <x v="2"/>
  </r>
  <r>
    <n v="81389193399"/>
    <s v="Bernardo Pereira"/>
    <x v="0"/>
    <s v="Ensino Médio"/>
    <s v="Negócios"/>
    <x v="0"/>
    <d v="1979-09-17T00:00:00"/>
    <x v="3"/>
    <x v="0"/>
    <n v="29.9"/>
    <n v="46"/>
    <x v="2"/>
  </r>
  <r>
    <n v="81477810082"/>
    <s v="David Carter"/>
    <x v="0"/>
    <s v="Mestrado"/>
    <s v="Negócios"/>
    <x v="0"/>
    <d v="1994-11-20T00:00:00"/>
    <x v="0"/>
    <x v="0"/>
    <n v="29.9"/>
    <n v="31"/>
    <x v="1"/>
  </r>
  <r>
    <n v="81525212234"/>
    <s v="Connor Wood"/>
    <x v="1"/>
    <s v="Ensino Médio"/>
    <s v="Finanças"/>
    <x v="1"/>
    <d v="1985-09-21T00:00:00"/>
    <x v="0"/>
    <x v="0"/>
    <n v="29.9"/>
    <n v="40"/>
    <x v="3"/>
  </r>
  <r>
    <n v="81656115235"/>
    <s v="Hector Aguilar"/>
    <x v="0"/>
    <s v="Ensino Médio"/>
    <s v="Economia"/>
    <x v="1"/>
    <d v="1989-09-01T00:00:00"/>
    <x v="0"/>
    <x v="0"/>
    <n v="29.9"/>
    <n v="36"/>
    <x v="3"/>
  </r>
  <r>
    <n v="81829540486"/>
    <s v="Laura Miranda"/>
    <x v="1"/>
    <s v="Ensino Médio"/>
    <s v="Política"/>
    <x v="0"/>
    <d v="1992-02-06T00:00:00"/>
    <x v="0"/>
    <x v="3"/>
    <n v="79.900000000000006"/>
    <n v="33"/>
    <x v="1"/>
  </r>
  <r>
    <n v="81841428890"/>
    <s v="Paisley King"/>
    <x v="0"/>
    <s v="Ensino Médio"/>
    <s v="Agronegócio"/>
    <x v="0"/>
    <d v="1963-09-16T00:00:00"/>
    <x v="0"/>
    <x v="3"/>
    <n v="79.900000000000006"/>
    <n v="62"/>
    <x v="0"/>
  </r>
  <r>
    <n v="81957095029"/>
    <s v="Ana Pereira"/>
    <x v="1"/>
    <s v="Pós-Graduação"/>
    <s v="Finanças"/>
    <x v="0"/>
    <d v="1997-01-10T00:00:00"/>
    <x v="0"/>
    <x v="0"/>
    <n v="29.9"/>
    <n v="28"/>
    <x v="1"/>
  </r>
  <r>
    <n v="81957392796"/>
    <s v="Elijah Hernandez"/>
    <x v="1"/>
    <s v="Pós-Graduação"/>
    <s v="Finanças"/>
    <x v="0"/>
    <d v="1991-12-23T00:00:00"/>
    <x v="0"/>
    <x v="2"/>
    <n v="9.9"/>
    <n v="33"/>
    <x v="1"/>
  </r>
  <r>
    <n v="81986544000"/>
    <s v="José Costa"/>
    <x v="0"/>
    <s v="Superior"/>
    <s v="Agronegócio"/>
    <x v="0"/>
    <d v="1983-08-01T00:00:00"/>
    <x v="0"/>
    <x v="1"/>
    <n v="35.9"/>
    <n v="42"/>
    <x v="3"/>
  </r>
  <r>
    <n v="82193403599"/>
    <s v="Mariana Costa"/>
    <x v="1"/>
    <s v="Superior"/>
    <s v="Economia"/>
    <x v="2"/>
    <d v="1963-12-21T00:00:00"/>
    <x v="0"/>
    <x v="1"/>
    <n v="35.9"/>
    <n v="61"/>
    <x v="0"/>
  </r>
  <r>
    <n v="82208515205"/>
    <s v="Marcos Barbosa"/>
    <x v="0"/>
    <s v="Superior"/>
    <s v="Agronegócio"/>
    <x v="2"/>
    <d v="1981-06-01T00:00:00"/>
    <x v="1"/>
    <x v="1"/>
    <n v="35.9"/>
    <n v="44"/>
    <x v="2"/>
  </r>
  <r>
    <n v="82322292165"/>
    <s v="Rita Oliveira"/>
    <x v="1"/>
    <s v="Superior"/>
    <s v="Economia"/>
    <x v="0"/>
    <d v="1960-05-13T00:00:00"/>
    <x v="2"/>
    <x v="1"/>
    <n v="35.9"/>
    <n v="65"/>
    <x v="0"/>
  </r>
  <r>
    <n v="82534701192"/>
    <s v="Amanda Costa"/>
    <x v="1"/>
    <s v="Superior"/>
    <s v="Negócios"/>
    <x v="0"/>
    <d v="1983-07-27T00:00:00"/>
    <x v="3"/>
    <x v="2"/>
    <n v="9.9"/>
    <n v="42"/>
    <x v="3"/>
  </r>
  <r>
    <n v="82602952057"/>
    <s v="Henrique Freitas"/>
    <x v="0"/>
    <s v="Superior"/>
    <s v="Negócios"/>
    <x v="2"/>
    <d v="1975-03-31T00:00:00"/>
    <x v="3"/>
    <x v="0"/>
    <n v="29.9"/>
    <n v="50"/>
    <x v="2"/>
  </r>
  <r>
    <n v="82616416182"/>
    <s v="Isabella Gonzalez"/>
    <x v="1"/>
    <s v="Ensino Médio"/>
    <s v="Economia"/>
    <x v="0"/>
    <d v="1963-04-26T00:00:00"/>
    <x v="3"/>
    <x v="2"/>
    <n v="9.9"/>
    <n v="62"/>
    <x v="0"/>
  </r>
  <r>
    <n v="82696018618"/>
    <s v="Alma Rosa Delgado"/>
    <x v="1"/>
    <s v="Superior"/>
    <s v="Negócios"/>
    <x v="1"/>
    <d v="1989-11-27T00:00:00"/>
    <x v="3"/>
    <x v="2"/>
    <n v="9.9"/>
    <n v="36"/>
    <x v="3"/>
  </r>
  <r>
    <n v="82955592711"/>
    <s v="Emily Wright"/>
    <x v="1"/>
    <s v="Superior"/>
    <s v="Esportes"/>
    <x v="2"/>
    <d v="1962-07-05T00:00:00"/>
    <x v="3"/>
    <x v="2"/>
    <n v="9.9"/>
    <n v="63"/>
    <x v="0"/>
  </r>
  <r>
    <n v="83052449006"/>
    <s v="Bernardo Gomes"/>
    <x v="0"/>
    <s v="Superior"/>
    <s v="Economia"/>
    <x v="0"/>
    <d v="1961-11-22T00:00:00"/>
    <x v="3"/>
    <x v="1"/>
    <n v="35.9"/>
    <n v="64"/>
    <x v="0"/>
  </r>
  <r>
    <n v="83212266867"/>
    <s v="Christian Bennett"/>
    <x v="0"/>
    <s v="Ensino Médio"/>
    <s v="Política"/>
    <x v="0"/>
    <d v="1982-09-02T00:00:00"/>
    <x v="4"/>
    <x v="3"/>
    <n v="79.900000000000006"/>
    <n v="43"/>
    <x v="3"/>
  </r>
  <r>
    <n v="83445012725"/>
    <s v="Rita Almeida"/>
    <x v="1"/>
    <s v="Superior"/>
    <s v="Negócios"/>
    <x v="1"/>
    <d v="1960-12-15T00:00:00"/>
    <x v="0"/>
    <x v="0"/>
    <n v="29.9"/>
    <n v="65"/>
    <x v="0"/>
  </r>
  <r>
    <n v="83649207260"/>
    <s v="Felipe Alves"/>
    <x v="0"/>
    <s v="Pós-Graduação"/>
    <s v="Economia"/>
    <x v="1"/>
    <d v="1978-02-19T00:00:00"/>
    <x v="0"/>
    <x v="1"/>
    <n v="35.9"/>
    <n v="47"/>
    <x v="2"/>
  </r>
  <r>
    <n v="83970499766"/>
    <s v="Lucas Miller"/>
    <x v="0"/>
    <s v="Pós-Graduação"/>
    <s v="Política"/>
    <x v="2"/>
    <d v="1997-04-18T00:00:00"/>
    <x v="0"/>
    <x v="3"/>
    <n v="79.900000000000006"/>
    <n v="28"/>
    <x v="1"/>
  </r>
  <r>
    <n v="84131868739"/>
    <s v="Emerson Martins"/>
    <x v="0"/>
    <s v="Ensino Médio"/>
    <s v="Agronegócio"/>
    <x v="0"/>
    <d v="1987-06-18T00:00:00"/>
    <x v="0"/>
    <x v="3"/>
    <n v="79.900000000000006"/>
    <n v="38"/>
    <x v="3"/>
  </r>
  <r>
    <n v="84303229207"/>
    <s v="Emiliano Acosta"/>
    <x v="0"/>
    <s v="Superior"/>
    <s v="Economia"/>
    <x v="0"/>
    <d v="1969-05-10T00:00:00"/>
    <x v="0"/>
    <x v="2"/>
    <n v="9.9"/>
    <n v="56"/>
    <x v="0"/>
  </r>
  <r>
    <n v="84709823345"/>
    <s v="Marcelo Fernandes"/>
    <x v="0"/>
    <s v="Pós-Graduação"/>
    <s v="Negócios"/>
    <x v="0"/>
    <d v="1962-05-21T00:00:00"/>
    <x v="5"/>
    <x v="2"/>
    <n v="9.9"/>
    <n v="63"/>
    <x v="0"/>
  </r>
  <r>
    <n v="84913009166"/>
    <s v="Victor Maldonado"/>
    <x v="0"/>
    <s v="Ensino Médio"/>
    <s v="Política"/>
    <x v="0"/>
    <d v="1987-03-25T00:00:00"/>
    <x v="1"/>
    <x v="3"/>
    <n v="79.900000000000006"/>
    <n v="38"/>
    <x v="3"/>
  </r>
  <r>
    <n v="84948080328"/>
    <s v="Aria Rivera"/>
    <x v="1"/>
    <s v="Superior"/>
    <s v="Economia"/>
    <x v="0"/>
    <d v="1993-11-02T00:00:00"/>
    <x v="6"/>
    <x v="1"/>
    <n v="35.9"/>
    <n v="32"/>
    <x v="1"/>
  </r>
  <r>
    <n v="85098405832"/>
    <s v="Ana Ruiz"/>
    <x v="1"/>
    <s v="Mestrado"/>
    <s v="Agronegócio"/>
    <x v="2"/>
    <d v="1980-12-11T00:00:00"/>
    <x v="2"/>
    <x v="2"/>
    <n v="9.9"/>
    <n v="45"/>
    <x v="2"/>
  </r>
  <r>
    <n v="85179233460"/>
    <s v="Adriana Rojas"/>
    <x v="1"/>
    <s v="Pós-Graduação"/>
    <s v="Negócios"/>
    <x v="0"/>
    <d v="1989-09-10T00:00:00"/>
    <x v="7"/>
    <x v="2"/>
    <n v="9.9"/>
    <n v="36"/>
    <x v="3"/>
  </r>
  <r>
    <n v="85199827692"/>
    <s v="Grace Hill"/>
    <x v="1"/>
    <s v="Superior"/>
    <s v="Economia"/>
    <x v="0"/>
    <d v="1984-10-05T00:00:00"/>
    <x v="5"/>
    <x v="1"/>
    <n v="35.9"/>
    <n v="41"/>
    <x v="3"/>
  </r>
  <r>
    <n v="85294985317"/>
    <s v="Rita Rodrigues"/>
    <x v="1"/>
    <s v="Pós-Graduação"/>
    <s v="Finanças"/>
    <x v="2"/>
    <d v="1982-03-04T00:00:00"/>
    <x v="4"/>
    <x v="0"/>
    <n v="29.9"/>
    <n v="43"/>
    <x v="3"/>
  </r>
  <r>
    <n v="85486291852"/>
    <s v="Alejandra Valdez"/>
    <x v="1"/>
    <s v="Ensino Médio"/>
    <s v="Agronegócio"/>
    <x v="0"/>
    <d v="1975-04-04T00:00:00"/>
    <x v="3"/>
    <x v="2"/>
    <n v="9.9"/>
    <n v="50"/>
    <x v="2"/>
  </r>
  <r>
    <n v="85516322956"/>
    <s v="Harper Martinez"/>
    <x v="0"/>
    <s v="Pós-Graduação"/>
    <s v="Economia"/>
    <x v="1"/>
    <d v="1986-04-16T00:00:00"/>
    <x v="5"/>
    <x v="1"/>
    <n v="35.9"/>
    <n v="39"/>
    <x v="3"/>
  </r>
  <r>
    <n v="85643949724"/>
    <s v="José Gomes"/>
    <x v="0"/>
    <s v="Pós-Graduação"/>
    <s v="Esportes"/>
    <x v="1"/>
    <d v="1981-07-09T00:00:00"/>
    <x v="4"/>
    <x v="2"/>
    <n v="9.9"/>
    <n v="44"/>
    <x v="2"/>
  </r>
  <r>
    <n v="85741899575"/>
    <s v="Rylee Fisher"/>
    <x v="0"/>
    <s v="Superior"/>
    <s v="Agronegócio"/>
    <x v="2"/>
    <d v="1965-03-30T00:00:00"/>
    <x v="3"/>
    <x v="1"/>
    <n v="35.9"/>
    <n v="60"/>
    <x v="0"/>
  </r>
  <r>
    <n v="85811272833"/>
    <s v="Jordan Hayes"/>
    <x v="0"/>
    <s v="Pós-Graduação"/>
    <s v="Negócios"/>
    <x v="2"/>
    <d v="1982-05-04T00:00:00"/>
    <x v="0"/>
    <x v="2"/>
    <n v="9.9"/>
    <n v="43"/>
    <x v="3"/>
  </r>
  <r>
    <n v="85815028040"/>
    <s v="Rafael Silva"/>
    <x v="0"/>
    <s v="Pós-Graduação"/>
    <s v="Economia"/>
    <x v="0"/>
    <d v="1962-02-06T00:00:00"/>
    <x v="0"/>
    <x v="0"/>
    <n v="29.9"/>
    <n v="63"/>
    <x v="0"/>
  </r>
  <r>
    <n v="85835308143"/>
    <s v="Angelica Ibarra"/>
    <x v="1"/>
    <s v="Pós-Graduação"/>
    <s v="Negócios"/>
    <x v="2"/>
    <d v="1994-03-21T00:00:00"/>
    <x v="0"/>
    <x v="3"/>
    <n v="79.900000000000006"/>
    <n v="31"/>
    <x v="1"/>
  </r>
  <r>
    <n v="85880197310"/>
    <s v="Vilma Costa"/>
    <x v="1"/>
    <s v="Ensino Médio"/>
    <s v="Economia"/>
    <x v="0"/>
    <d v="1977-06-03T00:00:00"/>
    <x v="0"/>
    <x v="1"/>
    <n v="35.9"/>
    <n v="48"/>
    <x v="2"/>
  </r>
  <r>
    <n v="86054892010"/>
    <s v="Victoria Murphy"/>
    <x v="1"/>
    <s v="Superior"/>
    <s v="Economia"/>
    <x v="2"/>
    <d v="1984-09-17T00:00:00"/>
    <x v="0"/>
    <x v="1"/>
    <n v="35.9"/>
    <n v="41"/>
    <x v="3"/>
  </r>
  <r>
    <n v="86094864413"/>
    <s v="Paulo Lima"/>
    <x v="1"/>
    <s v="Ensino Médio"/>
    <s v="Economia"/>
    <x v="2"/>
    <d v="1986-03-03T00:00:00"/>
    <x v="0"/>
    <x v="0"/>
    <n v="29.9"/>
    <n v="39"/>
    <x v="3"/>
  </r>
  <r>
    <n v="86499663957"/>
    <s v="Sofia Martinez"/>
    <x v="1"/>
    <s v="Superior"/>
    <s v="Economia"/>
    <x v="0"/>
    <d v="1973-02-15T00:00:00"/>
    <x v="0"/>
    <x v="1"/>
    <n v="35.9"/>
    <n v="52"/>
    <x v="2"/>
  </r>
  <r>
    <n v="86852773998"/>
    <s v="Miguel Angel Gonzalez"/>
    <x v="0"/>
    <s v="Superior"/>
    <s v="Economia"/>
    <x v="0"/>
    <d v="1971-08-09T00:00:00"/>
    <x v="0"/>
    <x v="0"/>
    <n v="29.9"/>
    <n v="54"/>
    <x v="0"/>
  </r>
  <r>
    <n v="86978937487"/>
    <s v="Michael Hall"/>
    <x v="0"/>
    <s v="Ensino Médio"/>
    <s v="Economia"/>
    <x v="1"/>
    <d v="1963-12-23T00:00:00"/>
    <x v="0"/>
    <x v="0"/>
    <n v="29.9"/>
    <n v="61"/>
    <x v="0"/>
  </r>
  <r>
    <n v="87196399314"/>
    <s v="Ryan Foster"/>
    <x v="0"/>
    <s v="Ensino Médio"/>
    <s v="Negócios"/>
    <x v="0"/>
    <d v="1963-04-06T00:00:00"/>
    <x v="1"/>
    <x v="1"/>
    <n v="35.9"/>
    <n v="62"/>
    <x v="0"/>
  </r>
  <r>
    <n v="87285460641"/>
    <s v="Christopher Ross"/>
    <x v="0"/>
    <s v="Superior"/>
    <s v="Finanças"/>
    <x v="1"/>
    <d v="1986-01-24T00:00:00"/>
    <x v="2"/>
    <x v="0"/>
    <n v="29.9"/>
    <n v="39"/>
    <x v="3"/>
  </r>
  <r>
    <n v="87414402435"/>
    <s v="Layla Torres"/>
    <x v="1"/>
    <s v="Pós-Graduação"/>
    <s v="Agronegócio"/>
    <x v="1"/>
    <d v="1978-10-04T00:00:00"/>
    <x v="3"/>
    <x v="2"/>
    <n v="9.9"/>
    <n v="47"/>
    <x v="2"/>
  </r>
  <r>
    <n v="87420964182"/>
    <s v="Martin Dominguez"/>
    <x v="1"/>
    <s v="Superior"/>
    <s v="Esportes"/>
    <x v="2"/>
    <d v="1978-10-05T00:00:00"/>
    <x v="3"/>
    <x v="2"/>
    <n v="9.9"/>
    <n v="47"/>
    <x v="2"/>
  </r>
  <r>
    <n v="87436471754"/>
    <s v="Lucy Brooks"/>
    <x v="0"/>
    <s v="Superior"/>
    <s v="Economia"/>
    <x v="0"/>
    <d v="1960-02-04T00:00:00"/>
    <x v="3"/>
    <x v="0"/>
    <n v="29.9"/>
    <n v="65"/>
    <x v="0"/>
  </r>
  <r>
    <n v="87558717722"/>
    <s v="Bruno Gomes"/>
    <x v="0"/>
    <s v="Superior"/>
    <s v="Esportes"/>
    <x v="0"/>
    <d v="1978-12-21T00:00:00"/>
    <x v="3"/>
    <x v="2"/>
    <n v="9.9"/>
    <n v="46"/>
    <x v="2"/>
  </r>
  <r>
    <n v="87686193175"/>
    <s v="Mariana Gomes"/>
    <x v="1"/>
    <s v="Ensino Médio"/>
    <s v="Economia"/>
    <x v="1"/>
    <d v="1998-01-30T00:00:00"/>
    <x v="3"/>
    <x v="0"/>
    <n v="29.9"/>
    <n v="27"/>
    <x v="1"/>
  </r>
  <r>
    <n v="87868289945"/>
    <s v="Pedro Torres"/>
    <x v="0"/>
    <s v="Superior"/>
    <s v="Economia"/>
    <x v="2"/>
    <d v="1998-02-26T00:00:00"/>
    <x v="3"/>
    <x v="1"/>
    <n v="35.9"/>
    <n v="27"/>
    <x v="1"/>
  </r>
  <r>
    <n v="87892351305"/>
    <s v="Felipe Alves Pereira"/>
    <x v="0"/>
    <s v="Superior"/>
    <s v="Economia"/>
    <x v="0"/>
    <d v="1988-12-05T00:00:00"/>
    <x v="4"/>
    <x v="0"/>
    <n v="29.9"/>
    <n v="37"/>
    <x v="3"/>
  </r>
  <r>
    <n v="88165679068"/>
    <s v="Caleb Reed"/>
    <x v="0"/>
    <s v="Pós-Graduação"/>
    <s v="Negócios"/>
    <x v="0"/>
    <d v="1988-01-25T00:00:00"/>
    <x v="0"/>
    <x v="0"/>
    <n v="29.9"/>
    <n v="37"/>
    <x v="3"/>
  </r>
  <r>
    <n v="88238264803"/>
    <s v="Mariana Santos"/>
    <x v="1"/>
    <s v="Ensino Médio"/>
    <s v="Esportes"/>
    <x v="2"/>
    <d v="1972-11-08T00:00:00"/>
    <x v="0"/>
    <x v="2"/>
    <n v="9.9"/>
    <n v="53"/>
    <x v="2"/>
  </r>
  <r>
    <n v="88285918314"/>
    <s v="Veronica Reyes"/>
    <x v="1"/>
    <s v="Superior"/>
    <s v="Economia"/>
    <x v="0"/>
    <d v="1989-03-18T00:00:00"/>
    <x v="0"/>
    <x v="2"/>
    <n v="9.9"/>
    <n v="36"/>
    <x v="3"/>
  </r>
  <r>
    <n v="88425685425"/>
    <s v="Eduardo Rodrigues"/>
    <x v="0"/>
    <s v="Superior"/>
    <s v="Agronegócio"/>
    <x v="0"/>
    <d v="1963-07-12T00:00:00"/>
    <x v="0"/>
    <x v="2"/>
    <n v="9.9"/>
    <n v="62"/>
    <x v="0"/>
  </r>
  <r>
    <n v="88756128664"/>
    <s v="John Cook"/>
    <x v="0"/>
    <s v="Ensino Médio"/>
    <s v="Negócios"/>
    <x v="0"/>
    <d v="1980-02-24T00:00:00"/>
    <x v="0"/>
    <x v="2"/>
    <n v="9.9"/>
    <n v="45"/>
    <x v="2"/>
  </r>
  <r>
    <n v="88896839501"/>
    <s v="Samantha Price"/>
    <x v="1"/>
    <s v="Ensino Médio"/>
    <s v="Negócios"/>
    <x v="0"/>
    <d v="1963-06-25T00:00:00"/>
    <x v="5"/>
    <x v="0"/>
    <n v="29.9"/>
    <n v="62"/>
    <x v="0"/>
  </r>
  <r>
    <n v="89152601477"/>
    <s v="Maria Elena Herrera"/>
    <x v="1"/>
    <s v="Superior"/>
    <s v="Negócios"/>
    <x v="0"/>
    <d v="1988-12-03T00:00:00"/>
    <x v="1"/>
    <x v="2"/>
    <n v="9.9"/>
    <n v="37"/>
    <x v="3"/>
  </r>
  <r>
    <n v="89207609844"/>
    <s v="Marcelo Costa"/>
    <x v="0"/>
    <s v="Superior"/>
    <s v="Política"/>
    <x v="1"/>
    <d v="1972-04-13T00:00:00"/>
    <x v="6"/>
    <x v="3"/>
    <n v="79.900000000000006"/>
    <n v="53"/>
    <x v="2"/>
  </r>
  <r>
    <n v="89438414320"/>
    <s v="Bruno Rodrigues"/>
    <x v="0"/>
    <s v="Ensino Médio"/>
    <s v="Negócios"/>
    <x v="0"/>
    <d v="1997-06-15T00:00:00"/>
    <x v="2"/>
    <x v="1"/>
    <n v="35.9"/>
    <n v="28"/>
    <x v="1"/>
  </r>
  <r>
    <n v="89439201236"/>
    <s v="James Lee"/>
    <x v="0"/>
    <s v="Superior"/>
    <s v="Negócios"/>
    <x v="1"/>
    <d v="1978-11-16T00:00:00"/>
    <x v="7"/>
    <x v="2"/>
    <n v="9.9"/>
    <n v="47"/>
    <x v="2"/>
  </r>
  <r>
    <n v="89576352486"/>
    <s v="Matthew Ward"/>
    <x v="0"/>
    <s v="Ensino Médio"/>
    <s v="Política"/>
    <x v="1"/>
    <d v="1995-04-11T00:00:00"/>
    <x v="5"/>
    <x v="3"/>
    <n v="79.900000000000006"/>
    <n v="30"/>
    <x v="1"/>
  </r>
  <r>
    <n v="89719385812"/>
    <s v="Bruno Pereira"/>
    <x v="0"/>
    <s v="Pós-Graduação"/>
    <s v="Agronegócio"/>
    <x v="1"/>
    <d v="1967-11-25T00:00:00"/>
    <x v="4"/>
    <x v="2"/>
    <n v="9.9"/>
    <n v="58"/>
    <x v="0"/>
  </r>
  <r>
    <n v="89961852342"/>
    <s v="Bruno Santos"/>
    <x v="0"/>
    <s v="Ensino Médio"/>
    <s v="Economia"/>
    <x v="0"/>
    <d v="1980-08-14T00:00:00"/>
    <x v="3"/>
    <x v="2"/>
    <n v="9.9"/>
    <n v="45"/>
    <x v="2"/>
  </r>
  <r>
    <n v="90135135538"/>
    <s v="Maria Fernanda Guerra"/>
    <x v="1"/>
    <s v="Mestrado"/>
    <s v="Negócios"/>
    <x v="0"/>
    <d v="1963-10-12T00:00:00"/>
    <x v="5"/>
    <x v="1"/>
    <n v="35.9"/>
    <n v="62"/>
    <x v="0"/>
  </r>
  <r>
    <n v="90226137721"/>
    <s v="Liam Williams"/>
    <x v="0"/>
    <s v="Ensino Médio"/>
    <s v="Negócios"/>
    <x v="1"/>
    <d v="1974-04-23T00:00:00"/>
    <x v="4"/>
    <x v="3"/>
    <n v="79.900000000000006"/>
    <n v="51"/>
    <x v="2"/>
  </r>
  <r>
    <n v="90433255608"/>
    <s v="Marcelo Gomes"/>
    <x v="0"/>
    <s v="Ensino Médio"/>
    <s v="Economia"/>
    <x v="0"/>
    <d v="1973-01-08T00:00:00"/>
    <x v="3"/>
    <x v="0"/>
    <n v="29.9"/>
    <n v="52"/>
    <x v="2"/>
  </r>
  <r>
    <n v="90471108936"/>
    <s v="Emerson Silva"/>
    <x v="0"/>
    <s v="Pós-Graduação"/>
    <s v="Agronegócio"/>
    <x v="2"/>
    <d v="1983-03-04T00:00:00"/>
    <x v="0"/>
    <x v="1"/>
    <n v="35.9"/>
    <n v="42"/>
    <x v="3"/>
  </r>
  <r>
    <n v="90676250589"/>
    <s v="Marcelo Almeida"/>
    <x v="0"/>
    <s v="Pós-Graduação"/>
    <s v="Economia"/>
    <x v="2"/>
    <d v="1964-01-19T00:00:00"/>
    <x v="0"/>
    <x v="1"/>
    <n v="35.9"/>
    <n v="61"/>
    <x v="0"/>
  </r>
  <r>
    <n v="91279323809"/>
    <s v="Luiz Rodrigues"/>
    <x v="0"/>
    <s v="Superior"/>
    <s v="Economia"/>
    <x v="0"/>
    <d v="1975-02-18T00:00:00"/>
    <x v="0"/>
    <x v="2"/>
    <n v="9.9"/>
    <n v="50"/>
    <x v="2"/>
  </r>
  <r>
    <n v="91362501845"/>
    <s v="Maria Santos"/>
    <x v="1"/>
    <s v="Ensino Médio"/>
    <s v="Política"/>
    <x v="0"/>
    <d v="1977-09-26T00:00:00"/>
    <x v="0"/>
    <x v="3"/>
    <n v="79.900000000000006"/>
    <n v="48"/>
    <x v="2"/>
  </r>
  <r>
    <n v="91518429185"/>
    <s v="Bernardo Costa"/>
    <x v="0"/>
    <s v="Pós-Graduação"/>
    <s v="Negócios"/>
    <x v="0"/>
    <d v="1987-03-04T00:00:00"/>
    <x v="0"/>
    <x v="0"/>
    <n v="29.9"/>
    <n v="38"/>
    <x v="3"/>
  </r>
  <r>
    <n v="92217554531"/>
    <s v="Oliver Thompson"/>
    <x v="0"/>
    <s v="Superior"/>
    <s v="Negócios"/>
    <x v="1"/>
    <d v="1980-11-23T00:00:00"/>
    <x v="0"/>
    <x v="2"/>
    <n v="9.9"/>
    <n v="45"/>
    <x v="2"/>
  </r>
  <r>
    <n v="92420051701"/>
    <s v="Vilma Rodrigues"/>
    <x v="1"/>
    <s v="Pós-Graduação"/>
    <s v="Negócios"/>
    <x v="2"/>
    <d v="1997-06-13T00:00:00"/>
    <x v="0"/>
    <x v="2"/>
    <n v="9.9"/>
    <n v="28"/>
    <x v="1"/>
  </r>
  <r>
    <n v="92500013367"/>
    <s v="William Silva"/>
    <x v="0"/>
    <s v="Mestrado"/>
    <s v="Negócios"/>
    <x v="2"/>
    <d v="1962-03-16T00:00:00"/>
    <x v="0"/>
    <x v="0"/>
    <n v="29.9"/>
    <n v="63"/>
    <x v="0"/>
  </r>
  <r>
    <n v="92768661715"/>
    <s v="Stella Ross"/>
    <x v="1"/>
    <s v="Ensino Médio"/>
    <s v="Agronegócio"/>
    <x v="2"/>
    <d v="1985-01-31T00:00:00"/>
    <x v="0"/>
    <x v="3"/>
    <n v="79.900000000000006"/>
    <n v="40"/>
    <x v="3"/>
  </r>
  <r>
    <n v="92851862378"/>
    <s v="Letícia Gomes"/>
    <x v="1"/>
    <s v="Pós-Graduação"/>
    <s v="Negócios"/>
    <x v="0"/>
    <d v="1984-07-09T00:00:00"/>
    <x v="1"/>
    <x v="1"/>
    <n v="35.9"/>
    <n v="41"/>
    <x v="3"/>
  </r>
  <r>
    <n v="92908961862"/>
    <s v="Giovanna Oliveira"/>
    <x v="1"/>
    <s v="Mestrado"/>
    <s v="Finanças"/>
    <x v="0"/>
    <d v="1973-06-26T00:00:00"/>
    <x v="2"/>
    <x v="0"/>
    <n v="29.9"/>
    <n v="52"/>
    <x v="2"/>
  </r>
  <r>
    <n v="92967114176"/>
    <s v="Marcelo Oliveira"/>
    <x v="0"/>
    <s v="Mestrado"/>
    <s v="Finanças"/>
    <x v="0"/>
    <d v="1993-07-20T00:00:00"/>
    <x v="3"/>
    <x v="0"/>
    <n v="29.9"/>
    <n v="32"/>
    <x v="1"/>
  </r>
  <r>
    <n v="93080185386"/>
    <s v="Clara Almeida"/>
    <x v="1"/>
    <s v="Pós-Graduação"/>
    <s v="Finanças"/>
    <x v="2"/>
    <d v="1967-12-03T00:00:00"/>
    <x v="3"/>
    <x v="0"/>
    <n v="29.9"/>
    <n v="58"/>
    <x v="0"/>
  </r>
  <r>
    <n v="93087822464"/>
    <s v="Camila Oliveira"/>
    <x v="1"/>
    <s v="Ensino Médio"/>
    <s v="Finanças"/>
    <x v="0"/>
    <d v="1981-06-03T00:00:00"/>
    <x v="3"/>
    <x v="0"/>
    <n v="29.9"/>
    <n v="44"/>
    <x v="2"/>
  </r>
  <r>
    <n v="93174372517"/>
    <s v="Marisol Ponce"/>
    <x v="1"/>
    <s v="Ensino Médio"/>
    <s v="Política"/>
    <x v="1"/>
    <d v="1978-05-23T00:00:00"/>
    <x v="3"/>
    <x v="3"/>
    <n v="79.900000000000006"/>
    <n v="47"/>
    <x v="2"/>
  </r>
  <r>
    <n v="93661850588"/>
    <s v="Rita Fernandes"/>
    <x v="1"/>
    <s v="Superior"/>
    <s v="Negócios"/>
    <x v="2"/>
    <d v="1982-11-16T00:00:00"/>
    <x v="3"/>
    <x v="0"/>
    <n v="29.9"/>
    <n v="43"/>
    <x v="3"/>
  </r>
  <r>
    <n v="94266497658"/>
    <s v="Rosa Molina"/>
    <x v="0"/>
    <s v="Ensino Médio"/>
    <s v="Agronegócio"/>
    <x v="0"/>
    <d v="1992-04-21T00:00:00"/>
    <x v="3"/>
    <x v="1"/>
    <n v="35.9"/>
    <n v="33"/>
    <x v="1"/>
  </r>
  <r>
    <n v="94367151573"/>
    <s v="Fernando Rios"/>
    <x v="0"/>
    <s v="Superior"/>
    <s v="Negócios"/>
    <x v="1"/>
    <d v="1982-07-22T00:00:00"/>
    <x v="4"/>
    <x v="2"/>
    <n v="9.9"/>
    <n v="43"/>
    <x v="3"/>
  </r>
  <r>
    <n v="94460718865"/>
    <s v="Patrícia Costa"/>
    <x v="1"/>
    <s v="Superior"/>
    <s v="Negócios"/>
    <x v="1"/>
    <d v="1965-10-20T00:00:00"/>
    <x v="0"/>
    <x v="0"/>
    <n v="29.9"/>
    <n v="60"/>
    <x v="0"/>
  </r>
  <r>
    <n v="94559470168"/>
    <s v="Rita Gomes"/>
    <x v="1"/>
    <s v="Ensino Médio"/>
    <s v="Negócios"/>
    <x v="1"/>
    <d v="1998-12-20T00:00:00"/>
    <x v="0"/>
    <x v="2"/>
    <n v="9.9"/>
    <n v="26"/>
    <x v="1"/>
  </r>
  <r>
    <n v="94583059920"/>
    <s v="Elena Morales"/>
    <x v="1"/>
    <s v="Pós-Graduação"/>
    <s v="Economia"/>
    <x v="2"/>
    <d v="1978-03-29T00:00:00"/>
    <x v="0"/>
    <x v="1"/>
    <n v="35.9"/>
    <n v="47"/>
    <x v="2"/>
  </r>
  <r>
    <n v="94654130097"/>
    <s v="Vilma Silva"/>
    <x v="1"/>
    <s v="Pós-Graduação"/>
    <s v="Negócios"/>
    <x v="1"/>
    <d v="1995-07-14T00:00:00"/>
    <x v="0"/>
    <x v="0"/>
    <n v="29.9"/>
    <n v="30"/>
    <x v="1"/>
  </r>
  <r>
    <n v="95202710429"/>
    <s v="Mason Anderson"/>
    <x v="1"/>
    <s v="Ensino Médio"/>
    <s v="Finanças"/>
    <x v="1"/>
    <d v="1966-07-12T00:00:00"/>
    <x v="0"/>
    <x v="0"/>
    <n v="29.9"/>
    <n v="59"/>
    <x v="0"/>
  </r>
  <r>
    <n v="95305432346"/>
    <s v="Sergio Camacho"/>
    <x v="1"/>
    <s v="Ensino Médio"/>
    <s v="Negócios"/>
    <x v="0"/>
    <d v="1974-01-17T00:00:00"/>
    <x v="5"/>
    <x v="0"/>
    <n v="29.9"/>
    <n v="51"/>
    <x v="2"/>
  </r>
  <r>
    <n v="95580971716"/>
    <s v="Marcelo Martins"/>
    <x v="0"/>
    <s v="Ensino Médio"/>
    <s v="Economia"/>
    <x v="0"/>
    <d v="1989-11-23T00:00:00"/>
    <x v="1"/>
    <x v="0"/>
    <n v="29.9"/>
    <n v="36"/>
    <x v="3"/>
  </r>
  <r>
    <n v="95596945437"/>
    <s v="Jesus Martinez"/>
    <x v="0"/>
    <s v="Superior"/>
    <s v="Esportes"/>
    <x v="0"/>
    <d v="1996-01-28T00:00:00"/>
    <x v="6"/>
    <x v="2"/>
    <n v="9.9"/>
    <n v="29"/>
    <x v="1"/>
  </r>
  <r>
    <n v="95707970101"/>
    <s v="Gustavo Neves"/>
    <x v="0"/>
    <s v="Pós-Graduação"/>
    <s v="Agronegócio"/>
    <x v="0"/>
    <d v="1964-10-05T00:00:00"/>
    <x v="2"/>
    <x v="3"/>
    <n v="79.900000000000006"/>
    <n v="61"/>
    <x v="0"/>
  </r>
  <r>
    <n v="95717759227"/>
    <s v="Bruno Martins"/>
    <x v="0"/>
    <s v="Ensino Médio"/>
    <s v="Negócios"/>
    <x v="1"/>
    <d v="1985-07-26T00:00:00"/>
    <x v="7"/>
    <x v="3"/>
    <n v="79.900000000000006"/>
    <n v="40"/>
    <x v="3"/>
  </r>
  <r>
    <n v="95777582172"/>
    <s v="Isabel Ramos"/>
    <x v="1"/>
    <s v="Superior"/>
    <s v="Finanças"/>
    <x v="1"/>
    <d v="1989-09-18T00:00:00"/>
    <x v="5"/>
    <x v="0"/>
    <n v="29.9"/>
    <n v="36"/>
    <x v="3"/>
  </r>
  <r>
    <n v="96142770610"/>
    <s v="Eva Foster"/>
    <x v="1"/>
    <s v="Ensino Médio"/>
    <s v="Economia"/>
    <x v="0"/>
    <d v="1966-04-20T00:00:00"/>
    <x v="4"/>
    <x v="1"/>
    <n v="35.9"/>
    <n v="59"/>
    <x v="0"/>
  </r>
  <r>
    <n v="96189222892"/>
    <s v="Pedro Silva"/>
    <x v="0"/>
    <s v="Superior"/>
    <s v="Agronegócio"/>
    <x v="2"/>
    <d v="1976-04-12T00:00:00"/>
    <x v="3"/>
    <x v="3"/>
    <n v="79.900000000000006"/>
    <n v="49"/>
    <x v="2"/>
  </r>
  <r>
    <n v="96207993803"/>
    <s v="Ava Davis"/>
    <x v="1"/>
    <s v="Ensino Médio"/>
    <s v="Economia"/>
    <x v="0"/>
    <d v="1987-07-13T00:00:00"/>
    <x v="5"/>
    <x v="1"/>
    <n v="35.9"/>
    <n v="38"/>
    <x v="3"/>
  </r>
  <r>
    <n v="96469060945"/>
    <s v="Mariana Almeida"/>
    <x v="1"/>
    <s v="Pós-Graduação"/>
    <s v="Economia"/>
    <x v="1"/>
    <d v="1970-09-19T00:00:00"/>
    <x v="4"/>
    <x v="1"/>
    <n v="35.9"/>
    <n v="55"/>
    <x v="0"/>
  </r>
  <r>
    <n v="96498559182"/>
    <s v="Amanda Costa Almeida"/>
    <x v="1"/>
    <s v="Ensino Médio"/>
    <s v="Negócios"/>
    <x v="1"/>
    <d v="1987-05-26T00:00:00"/>
    <x v="3"/>
    <x v="2"/>
    <n v="9.9"/>
    <n v="38"/>
    <x v="3"/>
  </r>
  <r>
    <n v="96683513690"/>
    <s v="Rafael Ferreira"/>
    <x v="0"/>
    <s v="Superior"/>
    <s v="Economia"/>
    <x v="2"/>
    <d v="1994-10-24T00:00:00"/>
    <x v="0"/>
    <x v="0"/>
    <n v="29.9"/>
    <n v="31"/>
    <x v="1"/>
  </r>
  <r>
    <n v="96690867763"/>
    <s v="João Almeida"/>
    <x v="0"/>
    <s v="Superior"/>
    <s v="Economia"/>
    <x v="2"/>
    <d v="1964-12-29T00:00:00"/>
    <x v="0"/>
    <x v="1"/>
    <n v="35.9"/>
    <n v="60"/>
    <x v="0"/>
  </r>
  <r>
    <n v="96730763444"/>
    <s v="Sandra Silva"/>
    <x v="1"/>
    <s v="Doutorado"/>
    <s v="Economia"/>
    <x v="1"/>
    <d v="1976-06-06T00:00:00"/>
    <x v="0"/>
    <x v="2"/>
    <n v="9.9"/>
    <n v="49"/>
    <x v="2"/>
  </r>
  <r>
    <n v="96777910303"/>
    <s v="Daniel Pereira"/>
    <x v="0"/>
    <s v="Superior"/>
    <s v="Esportes"/>
    <x v="0"/>
    <d v="1962-02-07T00:00:00"/>
    <x v="0"/>
    <x v="0"/>
    <n v="29.9"/>
    <n v="63"/>
    <x v="0"/>
  </r>
  <r>
    <n v="97043215141"/>
    <s v="Thomas Barnes"/>
    <x v="0"/>
    <s v="Mestrado"/>
    <s v="Política"/>
    <x v="1"/>
    <d v="1980-05-16T00:00:00"/>
    <x v="0"/>
    <x v="3"/>
    <n v="79.900000000000006"/>
    <n v="45"/>
    <x v="2"/>
  </r>
  <r>
    <n v="97361141928"/>
    <s v="Julio Cesar Juarez"/>
    <x v="0"/>
    <s v="Superior"/>
    <s v="Economia"/>
    <x v="2"/>
    <d v="1987-12-12T00:00:00"/>
    <x v="0"/>
    <x v="0"/>
    <n v="29.9"/>
    <n v="38"/>
    <x v="3"/>
  </r>
  <r>
    <n v="97520904627"/>
    <s v="Roberto Fuentes"/>
    <x v="0"/>
    <s v="Mestrado"/>
    <s v="Negócios"/>
    <x v="0"/>
    <d v="1978-11-18T00:00:00"/>
    <x v="0"/>
    <x v="2"/>
    <n v="9.9"/>
    <n v="47"/>
    <x v="2"/>
  </r>
  <r>
    <n v="97854794245"/>
    <s v="Emerson Gomes"/>
    <x v="0"/>
    <s v="Superior"/>
    <s v="Negócios"/>
    <x v="1"/>
    <d v="1986-06-03T00:00:00"/>
    <x v="0"/>
    <x v="0"/>
    <n v="29.9"/>
    <n v="39"/>
    <x v="3"/>
  </r>
  <r>
    <n v="97867342326"/>
    <s v="Fabiana Oliveira"/>
    <x v="1"/>
    <s v="Ensino Médio"/>
    <s v="Negócios"/>
    <x v="0"/>
    <d v="1989-12-30T00:00:00"/>
    <x v="0"/>
    <x v="3"/>
    <n v="79.900000000000006"/>
    <n v="35"/>
    <x v="3"/>
  </r>
  <r>
    <n v="97913428100"/>
    <s v="Gabriela Torres"/>
    <x v="1"/>
    <s v="Mestrado"/>
    <s v="Finanças"/>
    <x v="0"/>
    <d v="1999-10-18T00:00:00"/>
    <x v="1"/>
    <x v="0"/>
    <n v="29.9"/>
    <n v="26"/>
    <x v="1"/>
  </r>
  <r>
    <n v="98024981881"/>
    <s v="Renata Almeida"/>
    <x v="1"/>
    <s v="Superior"/>
    <s v="Finanças"/>
    <x v="1"/>
    <d v="1965-12-01T00:00:00"/>
    <x v="2"/>
    <x v="0"/>
    <n v="29.9"/>
    <n v="60"/>
    <x v="0"/>
  </r>
  <r>
    <n v="98384039664"/>
    <s v="Bernardo Fernandes"/>
    <x v="0"/>
    <s v="Ensino Médio"/>
    <s v="Finanças"/>
    <x v="0"/>
    <d v="1997-02-07T00:00:00"/>
    <x v="3"/>
    <x v="0"/>
    <n v="29.9"/>
    <n v="28"/>
    <x v="1"/>
  </r>
  <r>
    <n v="98413368768"/>
    <s v="Bernardo Martins"/>
    <x v="0"/>
    <s v="Superior"/>
    <s v="Negócios"/>
    <x v="1"/>
    <d v="1994-10-22T00:00:00"/>
    <x v="3"/>
    <x v="2"/>
    <n v="9.9"/>
    <n v="31"/>
    <x v="1"/>
  </r>
  <r>
    <n v="98697109512"/>
    <s v="Ramon Flores"/>
    <x v="0"/>
    <s v="Mestrado"/>
    <s v="Esportes"/>
    <x v="2"/>
    <d v="1989-01-15T00:00:00"/>
    <x v="3"/>
    <x v="2"/>
    <n v="9.9"/>
    <n v="36"/>
    <x v="3"/>
  </r>
  <r>
    <n v="99005827580"/>
    <s v="Alejandra Herrera"/>
    <x v="1"/>
    <s v="Ensino Médio"/>
    <s v="Economia"/>
    <x v="0"/>
    <d v="1970-10-29T00:00:00"/>
    <x v="3"/>
    <x v="1"/>
    <n v="35.9"/>
    <n v="55"/>
    <x v="0"/>
  </r>
  <r>
    <n v="99052709620"/>
    <s v="Julian Russell"/>
    <x v="1"/>
    <s v="Doutorado"/>
    <s v="Negócios"/>
    <x v="0"/>
    <d v="1993-08-11T00:00:00"/>
    <x v="3"/>
    <x v="2"/>
    <n v="9.9"/>
    <n v="32"/>
    <x v="1"/>
  </r>
  <r>
    <n v="99391394012"/>
    <s v="Mariana Souza"/>
    <x v="1"/>
    <s v="Ensino Médio"/>
    <s v="Negócios"/>
    <x v="0"/>
    <d v="1999-06-01T00:00:00"/>
    <x v="3"/>
    <x v="1"/>
    <n v="35.9"/>
    <n v="26"/>
    <x v="1"/>
  </r>
  <r>
    <n v="99587124171"/>
    <s v="Landon Gray"/>
    <x v="1"/>
    <s v="Superior"/>
    <s v="Negócios"/>
    <x v="1"/>
    <d v="1976-12-18T00:00:00"/>
    <x v="4"/>
    <x v="0"/>
    <n v="29.9"/>
    <n v="48"/>
    <x v="2"/>
  </r>
  <r>
    <n v="99659049071"/>
    <s v="Isaac Henderson"/>
    <x v="0"/>
    <s v="Ensino Médio"/>
    <s v="Finanças"/>
    <x v="0"/>
    <d v="1996-06-13T00:00:00"/>
    <x v="0"/>
    <x v="0"/>
    <n v="29.9"/>
    <n v="29"/>
    <x v="1"/>
  </r>
  <r>
    <n v="99687496489"/>
    <s v="Tristan Perry"/>
    <x v="0"/>
    <s v="Pós-Graduação"/>
    <s v="Negócios"/>
    <x v="0"/>
    <d v="1996-04-08T00:00:00"/>
    <x v="0"/>
    <x v="1"/>
    <n v="35.9"/>
    <n v="29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26A304-EEC3-4AE0-832D-9864648BC1C0}" name="Região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U5:V8" firstHeaderRow="1" firstDataRow="1" firstDataCol="1"/>
  <pivotFields count="12">
    <pivotField numFmtId="164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axis="axisRow" dataField="1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>
      <items count="5">
        <item x="1"/>
        <item x="2"/>
        <item x="3"/>
        <item x="0"/>
        <item t="default"/>
      </items>
    </pivotField>
    <pivotField numFmtId="165" showAll="0"/>
    <pivotField showAll="0"/>
    <pivotField showAll="0">
      <items count="5">
        <item x="1"/>
        <item x="3"/>
        <item x="2"/>
        <item x="0"/>
        <item t="default"/>
      </items>
    </pivotField>
  </pivotFields>
  <rowFields count="1">
    <field x="5"/>
  </rowFields>
  <rowItems count="3">
    <i>
      <x v="1"/>
    </i>
    <i>
      <x/>
    </i>
    <i>
      <x v="2"/>
    </i>
  </rowItems>
  <colItems count="1">
    <i/>
  </colItems>
  <dataFields count="1">
    <dataField name="Contagem de Região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5B8CD7-4F74-4677-B984-74BA2BB82E4D}" name="Produtos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O5:P9" firstHeaderRow="1" firstDataRow="1" firstDataCol="1"/>
  <pivotFields count="12">
    <pivotField numFmtId="164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axis="axisRow" dataField="1" showAll="0" sortType="descending">
      <items count="5">
        <item x="1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showAll="0">
      <items count="5">
        <item x="1"/>
        <item x="3"/>
        <item x="2"/>
        <item x="0"/>
        <item t="default"/>
      </items>
    </pivotField>
  </pivotFields>
  <rowFields count="1">
    <field x="8"/>
  </rowFields>
  <rowItems count="4">
    <i>
      <x v="1"/>
    </i>
    <i>
      <x v="3"/>
    </i>
    <i>
      <x/>
    </i>
    <i>
      <x v="2"/>
    </i>
  </rowItems>
  <colItems count="1">
    <i/>
  </colItems>
  <dataFields count="1">
    <dataField name="Contagem de Assinatura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9E563-090C-4E0D-8F75-CAD3843838BB}" name="GêneroFaixaEtari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I5:L11" firstHeaderRow="1" firstDataRow="2" firstDataCol="1"/>
  <pivotFields count="12">
    <pivotField numFmtId="164"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showAll="0">
      <items count="5">
        <item x="1"/>
        <item x="2"/>
        <item x="3"/>
        <item x="0"/>
        <item t="default"/>
      </items>
    </pivotField>
    <pivotField numFmtId="165" showAll="0"/>
    <pivotField showAll="0"/>
    <pivotField axis="axisRow" showAll="0">
      <items count="5">
        <item x="1"/>
        <item x="3"/>
        <item x="2"/>
        <item x="0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ntagem de Gênero" fld="2" subtotal="count" baseField="0" baseItem="0"/>
  </dataFields>
  <chartFormats count="2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93EDE-21D2-4E8E-A5C2-B460995C5445}" name="BaseTotais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B5:C7" firstHeaderRow="1" firstDataRow="1" firstDataCol="1"/>
  <pivotFields count="12">
    <pivotField numFmtId="164"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showAll="0">
      <items count="5">
        <item x="1"/>
        <item x="2"/>
        <item x="3"/>
        <item x="0"/>
        <item t="default"/>
      </items>
    </pivotField>
    <pivotField numFmtId="165" showAll="0"/>
    <pivotField showAll="0"/>
    <pivotField showAll="0">
      <items count="5">
        <item x="1"/>
        <item x="3"/>
        <item x="2"/>
        <item x="0"/>
        <item t="default"/>
      </items>
    </pivotField>
  </pivotFields>
  <rowFields count="1">
    <field x="2"/>
  </rowFields>
  <rowItems count="2">
    <i>
      <x/>
    </i>
    <i>
      <x v="1"/>
    </i>
  </rowItems>
  <colItems count="1">
    <i/>
  </colItems>
  <dataFields count="1">
    <dataField name="Contagem de Gênero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044F0-214C-4B6E-BE6F-1B1D87356FC8}" name="Receita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G5:AG6" firstHeaderRow="1" firstDataRow="1" firstDataCol="0"/>
  <pivotFields count="12">
    <pivotField numFmtId="164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showAll="0"/>
    <pivotField showAll="0">
      <items count="5">
        <item x="1"/>
        <item x="2"/>
        <item x="3"/>
        <item x="0"/>
        <item t="default"/>
      </items>
    </pivotField>
    <pivotField dataField="1" numFmtId="165" showAll="0"/>
    <pivotField showAll="0"/>
    <pivotField showAll="0">
      <items count="5">
        <item x="1"/>
        <item x="3"/>
        <item x="2"/>
        <item x="0"/>
        <item t="default"/>
      </items>
    </pivotField>
  </pivotFields>
  <rowItems count="1">
    <i/>
  </rowItems>
  <colItems count="1">
    <i/>
  </colItems>
  <dataFields count="1">
    <dataField name="Mensalidades" fld="9" baseField="0" baseItem="0" numFmtId="166"/>
  </dataFields>
  <formats count="5">
    <format dxfId="4">
      <pivotArea dataOnly="0" labelOnly="1" outline="0" axis="axisValues" fieldPosition="0"/>
    </format>
    <format dxfId="3">
      <pivotArea dataOnly="0" labelOnly="1" outline="0" axis="axisValues" fieldPosition="0"/>
    </format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6E53D-A686-40EF-B52A-D4096B23D922}" name="AvaliacaoClientes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>
  <location ref="AA5:AB13" firstHeaderRow="1" firstDataRow="1" firstDataCol="1"/>
  <pivotFields count="12">
    <pivotField numFmtId="164"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numFmtId="14" showAll="0"/>
    <pivotField axis="axisRow" dataField="1" showAll="0" sortType="descending">
      <items count="9">
        <item x="3"/>
        <item x="5"/>
        <item x="7"/>
        <item x="2"/>
        <item x="4"/>
        <item x="6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1"/>
        <item x="2"/>
        <item x="3"/>
        <item x="0"/>
        <item t="default"/>
      </items>
    </pivotField>
    <pivotField numFmtId="165" showAll="0"/>
    <pivotField showAll="0"/>
    <pivotField showAll="0">
      <items count="5">
        <item x="1"/>
        <item x="3"/>
        <item x="2"/>
        <item x="0"/>
        <item t="default"/>
      </items>
    </pivotField>
  </pivotFields>
  <rowFields count="1">
    <field x="7"/>
  </rowFields>
  <rowItems count="8">
    <i>
      <x v="6"/>
    </i>
    <i>
      <x/>
    </i>
    <i>
      <x v="4"/>
    </i>
    <i>
      <x v="1"/>
    </i>
    <i>
      <x v="7"/>
    </i>
    <i>
      <x v="3"/>
    </i>
    <i>
      <x v="5"/>
    </i>
    <i>
      <x v="2"/>
    </i>
  </rowItems>
  <colItems count="1">
    <i/>
  </colItems>
  <dataFields count="1">
    <dataField name="Contagem de Avaliação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" xr10:uid="{5441D8AD-0BBC-4A56-8C26-1B5F7FC43AC0}" sourceName="Região">
  <pivotTables>
    <pivotTable tabId="8" name="BaseTotais"/>
    <pivotTable tabId="8" name="AvaliacaoClientes"/>
    <pivotTable tabId="8" name="GêneroFaixaEtaria"/>
    <pivotTable tabId="8" name="Produtos"/>
    <pivotTable tabId="8" name="ReceitaTotal"/>
  </pivotTables>
  <data>
    <tabular pivotCacheId="1879732054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ssinatura" xr10:uid="{64E04E14-ED77-4A0D-9106-5B4494D096C3}" sourceName="Assinatura">
  <pivotTables>
    <pivotTable tabId="8" name="BaseTotais"/>
    <pivotTable tabId="8" name="AvaliacaoClientes"/>
    <pivotTable tabId="8" name="GêneroFaixaEtaria"/>
    <pivotTable tabId="8" name="ReceitaTotal"/>
    <pivotTable tabId="8" name="Região"/>
  </pivotTables>
  <data>
    <tabular pivotCacheId="1879732054">
      <items count="4">
        <i x="1" s="1"/>
        <i x="2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aixa_Etária" xr10:uid="{9E86EB7A-3D39-43BC-AAD1-0A06B737734F}" sourceName="Faixa-Etária">
  <pivotTables>
    <pivotTable tabId="8" name="BaseTotais"/>
    <pivotTable tabId="8" name="AvaliacaoClientes"/>
    <pivotTable tabId="8" name="Produtos"/>
    <pivotTable tabId="8" name="ReceitaTotal"/>
    <pivotTable tabId="8" name="Região"/>
  </pivotTables>
  <data>
    <tabular pivotCacheId="1879732054">
      <items count="4">
        <i x="1" s="1"/>
        <i x="3" s="1"/>
        <i x="2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Gênero" xr10:uid="{FBA9B17A-4D21-4681-B43D-B15E800DA5F6}" sourceName="Gênero">
  <pivotTables>
    <pivotTable tabId="8" name="Produtos"/>
    <pivotTable tabId="8" name="AvaliacaoClientes"/>
    <pivotTable tabId="8" name="ReceitaTotal"/>
    <pivotTable tabId="8" name="Região"/>
  </pivotTables>
  <data>
    <tabular pivotCacheId="1879732054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ão" xr10:uid="{BF8BEE72-5539-4902-8A0F-56D6088ABB9B}" cache="SegmentaçãodeDados_Região" caption="Região" style="SlicerStyleLight1 3" lockedPosition="1" rowHeight="247650"/>
  <slicer name="Assinatura" xr10:uid="{DB36D98B-E4D1-4E08-A8DB-5CFC1A13DB1B}" cache="SegmentaçãodeDados_Assinatura" caption="Assinatura" style="SlicerStyleLight1 3" lockedPosition="1" rowHeight="247650"/>
  <slicer name="Faixa-Etária" xr10:uid="{C2A84808-4FFA-40AD-8554-D71BAAE3E2B3}" cache="SegmentaçãodeDados_Faixa_Etária" caption="Faixa-Etária" style="SlicerStyleLight1 3" lockedPosition="1" rowHeight="247650"/>
  <slicer name="Gênero" xr10:uid="{81B066CA-5052-4F36-8F43-7FE5582CD8D0}" cache="SegmentaçãodeDados_Gênero" caption="Gênero" columnCount="2" style="SlicerStyleLight1 3" lockedPosition="1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E50803-3D4B-4FC6-A81D-44AD804F8E67}" name="TabelaBase" displayName="TabelaBase" ref="B2:M804" totalsRowShown="0" headerRowDxfId="11">
  <autoFilter ref="B2:M804" xr:uid="{BFE50803-3D4B-4FC6-A81D-44AD804F8E67}"/>
  <tableColumns count="12">
    <tableColumn id="1" xr3:uid="{E8AD2C3A-1F1A-4D66-85FA-4BE4BBB579BE}" name="CPF" dataDxfId="10"/>
    <tableColumn id="2" xr3:uid="{A0E4FC82-4985-4264-B8DB-9656C72B8C78}" name="Nome"/>
    <tableColumn id="3" xr3:uid="{F5ECBD26-9B66-45F8-BF0E-6DF3B25CEE7A}" name="Gênero"/>
    <tableColumn id="4" xr3:uid="{50D7B288-5719-4E35-8DCA-50B962243D6B}" name="Nivel de Estudos"/>
    <tableColumn id="5" xr3:uid="{BD38A6FC-A3DE-45EE-B9D3-F195FBE1F08B}" name="Interesse/Hobbie"/>
    <tableColumn id="6" xr3:uid="{2FAC75BA-90F4-41A9-AF56-8DE7E39F8246}" name="Região"/>
    <tableColumn id="7" xr3:uid="{36100C97-3D79-405F-AF5F-A34EA0021927}" name="Data Nascimento" dataDxfId="9"/>
    <tableColumn id="8" xr3:uid="{6A8941D2-071B-4A69-9451-1D19E2F3DD3F}" name="Avaliação" dataDxfId="8"/>
    <tableColumn id="9" xr3:uid="{CD257D1A-D15B-4401-B2F6-1FED4C055111}" name="Assinatura"/>
    <tableColumn id="10" xr3:uid="{17A45923-1C40-4784-AFD1-61ACB12DB9DF}" name="Mesalidades" dataDxfId="7"/>
    <tableColumn id="12" xr3:uid="{E24D56E9-6E60-445E-8232-FB190CF1E717}" name="Idade" dataDxfId="6">
      <calculatedColumnFormula>TRUNC((TODAY()-TabelaBase[[#This Row],[Data Nascimento]])/365)</calculatedColumnFormula>
    </tableColumn>
    <tableColumn id="13" xr3:uid="{5DFDB701-34F0-47D5-9CBC-D5E07AAF6105}" name="Faixa-Etária" dataDxfId="5">
      <calculatedColumnFormula>HLOOKUP(TabelaBase[[#This Row],[Idade]],$O$3:$R$4,2,TRUE)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Assianntes">
      <a:dk1>
        <a:sysClr val="windowText" lastClr="000000"/>
      </a:dk1>
      <a:lt1>
        <a:sysClr val="window" lastClr="FFFFFF"/>
      </a:lt1>
      <a:dk2>
        <a:srgbClr val="100625"/>
      </a:dk2>
      <a:lt2>
        <a:srgbClr val="372561"/>
      </a:lt2>
      <a:accent1>
        <a:srgbClr val="E85A7B"/>
      </a:accent1>
      <a:accent2>
        <a:srgbClr val="6477F2"/>
      </a:accent2>
      <a:accent3>
        <a:srgbClr val="58407D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77CBE-7228-4EF2-AF4C-F5E7D3363989}">
  <sheetPr>
    <tabColor theme="9"/>
  </sheetPr>
  <dimension ref="B2:R804"/>
  <sheetViews>
    <sheetView topLeftCell="A49" zoomScaleNormal="100" workbookViewId="0">
      <selection activeCell="C69" sqref="C69"/>
    </sheetView>
  </sheetViews>
  <sheetFormatPr defaultRowHeight="14.4" x14ac:dyDescent="0.3"/>
  <cols>
    <col min="1" max="1" width="0.44140625" customWidth="1"/>
    <col min="2" max="2" width="13.88671875" bestFit="1" customWidth="1"/>
    <col min="3" max="3" width="22.5546875" bestFit="1" customWidth="1"/>
    <col min="4" max="4" width="9.21875" bestFit="1" customWidth="1"/>
    <col min="5" max="5" width="16.5546875" customWidth="1"/>
    <col min="6" max="6" width="17.33203125" customWidth="1"/>
    <col min="7" max="7" width="15.109375" bestFit="1" customWidth="1"/>
    <col min="8" max="8" width="17.21875" customWidth="1"/>
    <col min="9" max="9" width="19.6640625" bestFit="1" customWidth="1"/>
    <col min="10" max="10" width="20.5546875" bestFit="1" customWidth="1"/>
    <col min="11" max="11" width="21" customWidth="1"/>
    <col min="12" max="13" width="21" style="15" customWidth="1"/>
    <col min="14" max="14" width="16.88671875" customWidth="1"/>
    <col min="15" max="15" width="11.88671875" customWidth="1"/>
    <col min="16" max="18" width="10.77734375" customWidth="1"/>
  </cols>
  <sheetData>
    <row r="2" spans="2:18" x14ac:dyDescent="0.3">
      <c r="B2" s="7" t="s">
        <v>2</v>
      </c>
      <c r="C2" s="7" t="s">
        <v>0</v>
      </c>
      <c r="D2" s="7" t="s">
        <v>1</v>
      </c>
      <c r="E2" s="7" t="s">
        <v>3</v>
      </c>
      <c r="F2" s="7" t="s">
        <v>10</v>
      </c>
      <c r="G2" s="7" t="s">
        <v>419</v>
      </c>
      <c r="H2" s="7" t="s">
        <v>4</v>
      </c>
      <c r="I2" s="7" t="s">
        <v>428</v>
      </c>
      <c r="J2" s="7" t="s">
        <v>449</v>
      </c>
      <c r="K2" s="7" t="s">
        <v>448</v>
      </c>
      <c r="L2" s="13" t="s">
        <v>450</v>
      </c>
      <c r="M2" s="13" t="s">
        <v>451</v>
      </c>
      <c r="O2" s="7" t="s">
        <v>437</v>
      </c>
    </row>
    <row r="3" spans="2:18" x14ac:dyDescent="0.3">
      <c r="B3" s="11">
        <v>22251128276</v>
      </c>
      <c r="C3" t="s">
        <v>135</v>
      </c>
      <c r="D3" t="s">
        <v>6</v>
      </c>
      <c r="E3" t="s">
        <v>417</v>
      </c>
      <c r="F3" t="s">
        <v>9</v>
      </c>
      <c r="G3" t="s">
        <v>425</v>
      </c>
      <c r="H3" s="1">
        <v>21118</v>
      </c>
      <c r="I3" s="1" t="s">
        <v>433</v>
      </c>
      <c r="J3" t="s">
        <v>444</v>
      </c>
      <c r="K3" s="12">
        <v>29.9</v>
      </c>
      <c r="L3" s="14">
        <f ca="1">TRUNC((TODAY()-TabelaBase[[#This Row],[Data Nascimento]])/365)</f>
        <v>68</v>
      </c>
      <c r="M3" s="14" t="str">
        <f ca="1">HLOOKUP(TabelaBase[[#This Row],[Idade]],$O$3:$R$4,2,TRUE)</f>
        <v>54-70</v>
      </c>
      <c r="O3" s="9">
        <v>24</v>
      </c>
      <c r="P3" s="9">
        <v>35</v>
      </c>
      <c r="Q3" s="9">
        <v>44</v>
      </c>
      <c r="R3" s="9">
        <v>54</v>
      </c>
    </row>
    <row r="4" spans="2:18" x14ac:dyDescent="0.3">
      <c r="B4" s="11">
        <v>22261045848</v>
      </c>
      <c r="C4" t="s">
        <v>217</v>
      </c>
      <c r="D4" t="s">
        <v>5</v>
      </c>
      <c r="E4" t="s">
        <v>7</v>
      </c>
      <c r="F4" t="s">
        <v>12</v>
      </c>
      <c r="G4" t="s">
        <v>425</v>
      </c>
      <c r="H4" s="1">
        <v>33376</v>
      </c>
      <c r="I4" s="1" t="s">
        <v>433</v>
      </c>
      <c r="J4" t="s">
        <v>445</v>
      </c>
      <c r="K4" s="12">
        <v>35.9</v>
      </c>
      <c r="L4" s="14">
        <f ca="1">TRUNC((TODAY()-TabelaBase[[#This Row],[Data Nascimento]])/365)</f>
        <v>34</v>
      </c>
      <c r="M4" s="14" t="str">
        <f ca="1">HLOOKUP(TabelaBase[[#This Row],[Idade]],$O$3:$R$4,2,TRUE)</f>
        <v>24-34</v>
      </c>
      <c r="O4" s="2" t="s">
        <v>420</v>
      </c>
      <c r="P4" s="2" t="s">
        <v>421</v>
      </c>
      <c r="Q4" s="2" t="s">
        <v>422</v>
      </c>
      <c r="R4" s="3" t="s">
        <v>423</v>
      </c>
    </row>
    <row r="5" spans="2:18" x14ac:dyDescent="0.3">
      <c r="B5" s="11">
        <v>22319593464</v>
      </c>
      <c r="C5" t="s">
        <v>221</v>
      </c>
      <c r="D5" t="s">
        <v>5</v>
      </c>
      <c r="E5" t="s">
        <v>417</v>
      </c>
      <c r="F5" t="s">
        <v>427</v>
      </c>
      <c r="G5" t="s">
        <v>426</v>
      </c>
      <c r="H5" s="1">
        <v>22802</v>
      </c>
      <c r="I5" s="1" t="s">
        <v>433</v>
      </c>
      <c r="J5" t="s">
        <v>445</v>
      </c>
      <c r="K5" s="12">
        <v>35.9</v>
      </c>
      <c r="L5" s="14">
        <f ca="1">TRUNC((TODAY()-TabelaBase[[#This Row],[Data Nascimento]])/365)</f>
        <v>63</v>
      </c>
      <c r="M5" s="14" t="str">
        <f ca="1">HLOOKUP(TabelaBase[[#This Row],[Idade]],$O$3:$R$4,2,TRUE)</f>
        <v>54-70</v>
      </c>
    </row>
    <row r="6" spans="2:18" x14ac:dyDescent="0.3">
      <c r="B6" s="11">
        <v>22502656506</v>
      </c>
      <c r="C6" t="s">
        <v>304</v>
      </c>
      <c r="D6" t="s">
        <v>6</v>
      </c>
      <c r="E6" t="s">
        <v>417</v>
      </c>
      <c r="F6" t="s">
        <v>14</v>
      </c>
      <c r="G6" t="s">
        <v>425</v>
      </c>
      <c r="H6" s="1">
        <v>34035</v>
      </c>
      <c r="I6" s="1" t="s">
        <v>433</v>
      </c>
      <c r="J6" t="s">
        <v>444</v>
      </c>
      <c r="K6" s="12">
        <v>29.9</v>
      </c>
      <c r="L6" s="14">
        <f ca="1">TRUNC((TODAY()-TabelaBase[[#This Row],[Data Nascimento]])/365)</f>
        <v>32</v>
      </c>
      <c r="M6" s="14" t="str">
        <f ca="1">HLOOKUP(TabelaBase[[#This Row],[Idade]],$O$3:$R$4,2,TRUE)</f>
        <v>24-34</v>
      </c>
    </row>
    <row r="7" spans="2:18" x14ac:dyDescent="0.3">
      <c r="B7" s="11">
        <v>22545488634</v>
      </c>
      <c r="C7" t="s">
        <v>195</v>
      </c>
      <c r="D7" t="s">
        <v>5</v>
      </c>
      <c r="E7" t="s">
        <v>417</v>
      </c>
      <c r="F7" t="s">
        <v>9</v>
      </c>
      <c r="G7" t="s">
        <v>425</v>
      </c>
      <c r="H7" s="1">
        <v>22524</v>
      </c>
      <c r="I7" s="1" t="s">
        <v>433</v>
      </c>
      <c r="J7" t="s">
        <v>446</v>
      </c>
      <c r="K7" s="12">
        <v>9.9</v>
      </c>
      <c r="L7" s="14">
        <f ca="1">TRUNC((TODAY()-TabelaBase[[#This Row],[Data Nascimento]])/365)</f>
        <v>64</v>
      </c>
      <c r="M7" s="14" t="str">
        <f ca="1">HLOOKUP(TabelaBase[[#This Row],[Idade]],$O$3:$R$4,2,TRUE)</f>
        <v>54-70</v>
      </c>
    </row>
    <row r="8" spans="2:18" x14ac:dyDescent="0.3">
      <c r="B8" s="11">
        <v>22730255729</v>
      </c>
      <c r="C8" t="s">
        <v>235</v>
      </c>
      <c r="D8" t="s">
        <v>6</v>
      </c>
      <c r="E8" t="s">
        <v>417</v>
      </c>
      <c r="F8" t="s">
        <v>12</v>
      </c>
      <c r="G8" t="s">
        <v>425</v>
      </c>
      <c r="H8" s="1">
        <v>20633</v>
      </c>
      <c r="I8" s="1" t="s">
        <v>433</v>
      </c>
      <c r="J8" t="s">
        <v>446</v>
      </c>
      <c r="K8" s="12">
        <v>9.9</v>
      </c>
      <c r="L8" s="14">
        <f ca="1">TRUNC((TODAY()-TabelaBase[[#This Row],[Data Nascimento]])/365)</f>
        <v>69</v>
      </c>
      <c r="M8" s="14" t="str">
        <f ca="1">HLOOKUP(TabelaBase[[#This Row],[Idade]],$O$3:$R$4,2,TRUE)</f>
        <v>54-70</v>
      </c>
    </row>
    <row r="9" spans="2:18" x14ac:dyDescent="0.3">
      <c r="B9" s="11">
        <v>22915442664</v>
      </c>
      <c r="C9" t="s">
        <v>380</v>
      </c>
      <c r="D9" t="s">
        <v>5</v>
      </c>
      <c r="E9" t="s">
        <v>7</v>
      </c>
      <c r="F9" t="s">
        <v>13</v>
      </c>
      <c r="G9" t="s">
        <v>425</v>
      </c>
      <c r="H9" s="1">
        <v>26190</v>
      </c>
      <c r="I9" s="1" t="s">
        <v>433</v>
      </c>
      <c r="J9" t="s">
        <v>446</v>
      </c>
      <c r="K9" s="12">
        <v>9.9</v>
      </c>
      <c r="L9" s="14">
        <f ca="1">TRUNC((TODAY()-TabelaBase[[#This Row],[Data Nascimento]])/365)</f>
        <v>54</v>
      </c>
      <c r="M9" s="14" t="str">
        <f ca="1">HLOOKUP(TabelaBase[[#This Row],[Idade]],$O$3:$R$4,2,TRUE)</f>
        <v>54-70</v>
      </c>
    </row>
    <row r="10" spans="2:18" x14ac:dyDescent="0.3">
      <c r="B10" s="11">
        <v>23003948004</v>
      </c>
      <c r="C10" t="s">
        <v>385</v>
      </c>
      <c r="D10" t="s">
        <v>6</v>
      </c>
      <c r="E10" t="s">
        <v>7</v>
      </c>
      <c r="F10" t="s">
        <v>12</v>
      </c>
      <c r="G10" t="s">
        <v>425</v>
      </c>
      <c r="H10" s="1">
        <v>34879</v>
      </c>
      <c r="I10" s="1" t="s">
        <v>433</v>
      </c>
      <c r="J10" t="s">
        <v>445</v>
      </c>
      <c r="K10" s="12">
        <v>35.9</v>
      </c>
      <c r="L10" s="14">
        <f ca="1">TRUNC((TODAY()-TabelaBase[[#This Row],[Data Nascimento]])/365)</f>
        <v>30</v>
      </c>
      <c r="M10" s="14" t="str">
        <f ca="1">HLOOKUP(TabelaBase[[#This Row],[Idade]],$O$3:$R$4,2,TRUE)</f>
        <v>24-34</v>
      </c>
    </row>
    <row r="11" spans="2:18" x14ac:dyDescent="0.3">
      <c r="B11" s="11">
        <v>23076469898</v>
      </c>
      <c r="C11" t="s">
        <v>28</v>
      </c>
      <c r="D11" t="s">
        <v>5</v>
      </c>
      <c r="E11" t="s">
        <v>416</v>
      </c>
      <c r="F11" t="s">
        <v>14</v>
      </c>
      <c r="G11" t="s">
        <v>425</v>
      </c>
      <c r="H11" s="1">
        <v>26534</v>
      </c>
      <c r="I11" s="1" t="s">
        <v>433</v>
      </c>
      <c r="J11" t="s">
        <v>444</v>
      </c>
      <c r="K11" s="12">
        <v>29.9</v>
      </c>
      <c r="L11" s="14">
        <f ca="1">TRUNC((TODAY()-TabelaBase[[#This Row],[Data Nascimento]])/365)</f>
        <v>53</v>
      </c>
      <c r="M11" s="14" t="str">
        <f ca="1">HLOOKUP(TabelaBase[[#This Row],[Idade]],$O$3:$R$4,2,TRUE)</f>
        <v>44 - 54</v>
      </c>
    </row>
    <row r="12" spans="2:18" x14ac:dyDescent="0.3">
      <c r="B12" s="11">
        <v>23247585094</v>
      </c>
      <c r="C12" t="s">
        <v>123</v>
      </c>
      <c r="D12" t="s">
        <v>6</v>
      </c>
      <c r="E12" t="s">
        <v>7</v>
      </c>
      <c r="F12" t="s">
        <v>9</v>
      </c>
      <c r="G12" t="s">
        <v>424</v>
      </c>
      <c r="H12" s="1">
        <v>31809</v>
      </c>
      <c r="I12" s="1" t="s">
        <v>429</v>
      </c>
      <c r="J12" t="s">
        <v>446</v>
      </c>
      <c r="K12" s="12">
        <v>9.9</v>
      </c>
      <c r="L12" s="14">
        <f ca="1">TRUNC((TODAY()-TabelaBase[[#This Row],[Data Nascimento]])/365)</f>
        <v>38</v>
      </c>
      <c r="M12" s="14" t="str">
        <f ca="1">HLOOKUP(TabelaBase[[#This Row],[Idade]],$O$3:$R$4,2,TRUE)</f>
        <v>35 - 44</v>
      </c>
    </row>
    <row r="13" spans="2:18" x14ac:dyDescent="0.3">
      <c r="B13" s="11">
        <v>23305930384</v>
      </c>
      <c r="C13" t="s">
        <v>386</v>
      </c>
      <c r="D13" t="s">
        <v>5</v>
      </c>
      <c r="E13" t="s">
        <v>417</v>
      </c>
      <c r="F13" t="s">
        <v>13</v>
      </c>
      <c r="G13" t="s">
        <v>426</v>
      </c>
      <c r="H13" s="1">
        <v>21884</v>
      </c>
      <c r="I13" s="1" t="s">
        <v>432</v>
      </c>
      <c r="J13" t="s">
        <v>447</v>
      </c>
      <c r="K13" s="12">
        <v>79.900000000000006</v>
      </c>
      <c r="L13" s="14">
        <f ca="1">TRUNC((TODAY()-TabelaBase[[#This Row],[Data Nascimento]])/365)</f>
        <v>66</v>
      </c>
      <c r="M13" s="14" t="str">
        <f ca="1">HLOOKUP(TabelaBase[[#This Row],[Idade]],$O$3:$R$4,2,TRUE)</f>
        <v>54-70</v>
      </c>
    </row>
    <row r="14" spans="2:18" x14ac:dyDescent="0.3">
      <c r="B14" s="11">
        <v>23327518189</v>
      </c>
      <c r="C14" t="s">
        <v>238</v>
      </c>
      <c r="D14" t="s">
        <v>6</v>
      </c>
      <c r="E14" t="s">
        <v>417</v>
      </c>
      <c r="F14" t="s">
        <v>427</v>
      </c>
      <c r="G14" t="s">
        <v>426</v>
      </c>
      <c r="H14" s="1">
        <v>21366</v>
      </c>
      <c r="I14" s="1" t="s">
        <v>436</v>
      </c>
      <c r="J14" t="s">
        <v>444</v>
      </c>
      <c r="K14" s="12">
        <v>29.9</v>
      </c>
      <c r="L14" s="14">
        <f ca="1">TRUNC((TODAY()-TabelaBase[[#This Row],[Data Nascimento]])/365)</f>
        <v>67</v>
      </c>
      <c r="M14" s="14" t="str">
        <f ca="1">HLOOKUP(TabelaBase[[#This Row],[Idade]],$O$3:$R$4,2,TRUE)</f>
        <v>54-70</v>
      </c>
    </row>
    <row r="15" spans="2:18" x14ac:dyDescent="0.3">
      <c r="B15" s="11">
        <v>23347171291</v>
      </c>
      <c r="C15" t="s">
        <v>328</v>
      </c>
      <c r="D15" t="s">
        <v>6</v>
      </c>
      <c r="E15" t="s">
        <v>416</v>
      </c>
      <c r="F15" t="s">
        <v>14</v>
      </c>
      <c r="G15" t="s">
        <v>425</v>
      </c>
      <c r="H15" s="1">
        <v>28645</v>
      </c>
      <c r="I15" s="1" t="s">
        <v>436</v>
      </c>
      <c r="J15" t="s">
        <v>446</v>
      </c>
      <c r="K15" s="12">
        <v>9.9</v>
      </c>
      <c r="L15" s="14">
        <f ca="1">TRUNC((TODAY()-TabelaBase[[#This Row],[Data Nascimento]])/365)</f>
        <v>47</v>
      </c>
      <c r="M15" s="14" t="str">
        <f ca="1">HLOOKUP(TabelaBase[[#This Row],[Idade]],$O$3:$R$4,2,TRUE)</f>
        <v>44 - 54</v>
      </c>
    </row>
    <row r="16" spans="2:18" x14ac:dyDescent="0.3">
      <c r="B16" s="11">
        <v>23396488132</v>
      </c>
      <c r="C16" t="s">
        <v>41</v>
      </c>
      <c r="D16" t="s">
        <v>6</v>
      </c>
      <c r="E16" t="s">
        <v>417</v>
      </c>
      <c r="F16" t="s">
        <v>427</v>
      </c>
      <c r="G16" t="s">
        <v>425</v>
      </c>
      <c r="H16" s="1">
        <v>34390</v>
      </c>
      <c r="I16" s="1" t="s">
        <v>436</v>
      </c>
      <c r="J16" t="s">
        <v>445</v>
      </c>
      <c r="K16" s="12">
        <v>35.9</v>
      </c>
      <c r="L16" s="14">
        <f ca="1">TRUNC((TODAY()-TabelaBase[[#This Row],[Data Nascimento]])/365)</f>
        <v>31</v>
      </c>
      <c r="M16" s="14" t="str">
        <f ca="1">HLOOKUP(TabelaBase[[#This Row],[Idade]],$O$3:$R$4,2,TRUE)</f>
        <v>24-34</v>
      </c>
    </row>
    <row r="17" spans="2:13" x14ac:dyDescent="0.3">
      <c r="B17" s="11">
        <v>23474418720</v>
      </c>
      <c r="C17" t="s">
        <v>87</v>
      </c>
      <c r="D17" t="s">
        <v>6</v>
      </c>
      <c r="E17" t="s">
        <v>7</v>
      </c>
      <c r="F17" t="s">
        <v>9</v>
      </c>
      <c r="G17" t="s">
        <v>425</v>
      </c>
      <c r="H17" s="1">
        <v>23540</v>
      </c>
      <c r="I17" s="1" t="s">
        <v>436</v>
      </c>
      <c r="J17" t="s">
        <v>444</v>
      </c>
      <c r="K17" s="12">
        <v>29.9</v>
      </c>
      <c r="L17" s="14">
        <f ca="1">TRUNC((TODAY()-TabelaBase[[#This Row],[Data Nascimento]])/365)</f>
        <v>61</v>
      </c>
      <c r="M17" s="14" t="str">
        <f ca="1">HLOOKUP(TabelaBase[[#This Row],[Idade]],$O$3:$R$4,2,TRUE)</f>
        <v>54-70</v>
      </c>
    </row>
    <row r="18" spans="2:13" x14ac:dyDescent="0.3">
      <c r="B18" s="11">
        <v>23495363597</v>
      </c>
      <c r="C18" t="s">
        <v>315</v>
      </c>
      <c r="D18" t="s">
        <v>5</v>
      </c>
      <c r="E18" t="s">
        <v>417</v>
      </c>
      <c r="F18" t="s">
        <v>9</v>
      </c>
      <c r="G18" t="s">
        <v>425</v>
      </c>
      <c r="H18" s="1">
        <v>26610</v>
      </c>
      <c r="I18" s="1" t="s">
        <v>436</v>
      </c>
      <c r="J18" t="s">
        <v>446</v>
      </c>
      <c r="K18" s="12">
        <v>9.9</v>
      </c>
      <c r="L18" s="14">
        <f ca="1">TRUNC((TODAY()-TabelaBase[[#This Row],[Data Nascimento]])/365)</f>
        <v>53</v>
      </c>
      <c r="M18" s="14" t="str">
        <f ca="1">HLOOKUP(TabelaBase[[#This Row],[Idade]],$O$3:$R$4,2,TRUE)</f>
        <v>44 - 54</v>
      </c>
    </row>
    <row r="19" spans="2:13" x14ac:dyDescent="0.3">
      <c r="B19" s="11">
        <v>23710915067</v>
      </c>
      <c r="C19" t="s">
        <v>279</v>
      </c>
      <c r="D19" t="s">
        <v>6</v>
      </c>
      <c r="E19" t="s">
        <v>8</v>
      </c>
      <c r="F19" t="s">
        <v>9</v>
      </c>
      <c r="G19" t="s">
        <v>425</v>
      </c>
      <c r="H19" s="1">
        <v>23341</v>
      </c>
      <c r="I19" s="1" t="s">
        <v>436</v>
      </c>
      <c r="J19" t="s">
        <v>444</v>
      </c>
      <c r="K19" s="12">
        <v>29.9</v>
      </c>
      <c r="L19" s="14">
        <f ca="1">TRUNC((TODAY()-TabelaBase[[#This Row],[Data Nascimento]])/365)</f>
        <v>62</v>
      </c>
      <c r="M19" s="14" t="str">
        <f ca="1">HLOOKUP(TabelaBase[[#This Row],[Idade]],$O$3:$R$4,2,TRUE)</f>
        <v>54-70</v>
      </c>
    </row>
    <row r="20" spans="2:13" x14ac:dyDescent="0.3">
      <c r="B20" s="11">
        <v>23744776016</v>
      </c>
      <c r="C20" t="s">
        <v>163</v>
      </c>
      <c r="D20" t="s">
        <v>5</v>
      </c>
      <c r="E20" t="s">
        <v>7</v>
      </c>
      <c r="F20" t="s">
        <v>12</v>
      </c>
      <c r="G20" t="s">
        <v>424</v>
      </c>
      <c r="H20" s="1">
        <v>29555</v>
      </c>
      <c r="I20" s="1" t="s">
        <v>435</v>
      </c>
      <c r="J20" t="s">
        <v>446</v>
      </c>
      <c r="K20" s="12">
        <v>9.9</v>
      </c>
      <c r="L20" s="14">
        <f ca="1">TRUNC((TODAY()-TabelaBase[[#This Row],[Data Nascimento]])/365)</f>
        <v>45</v>
      </c>
      <c r="M20" s="14" t="str">
        <f ca="1">HLOOKUP(TabelaBase[[#This Row],[Idade]],$O$3:$R$4,2,TRUE)</f>
        <v>44 - 54</v>
      </c>
    </row>
    <row r="21" spans="2:13" x14ac:dyDescent="0.3">
      <c r="B21" s="11">
        <v>23811464512</v>
      </c>
      <c r="C21" t="s">
        <v>364</v>
      </c>
      <c r="D21" t="s">
        <v>5</v>
      </c>
      <c r="E21" t="s">
        <v>418</v>
      </c>
      <c r="F21" t="s">
        <v>14</v>
      </c>
      <c r="G21" t="s">
        <v>425</v>
      </c>
      <c r="H21" s="1">
        <v>29097</v>
      </c>
      <c r="I21" s="1" t="s">
        <v>433</v>
      </c>
      <c r="J21" t="s">
        <v>444</v>
      </c>
      <c r="K21" s="12">
        <v>29.9</v>
      </c>
      <c r="L21" s="14">
        <f ca="1">TRUNC((TODAY()-TabelaBase[[#This Row],[Data Nascimento]])/365)</f>
        <v>46</v>
      </c>
      <c r="M21" s="14" t="str">
        <f ca="1">HLOOKUP(TabelaBase[[#This Row],[Idade]],$O$3:$R$4,2,TRUE)</f>
        <v>44 - 54</v>
      </c>
    </row>
    <row r="22" spans="2:13" x14ac:dyDescent="0.3">
      <c r="B22" s="11">
        <v>23812290184</v>
      </c>
      <c r="C22" t="s">
        <v>272</v>
      </c>
      <c r="D22" t="s">
        <v>6</v>
      </c>
      <c r="E22" t="s">
        <v>8</v>
      </c>
      <c r="F22" t="s">
        <v>13</v>
      </c>
      <c r="G22" t="s">
        <v>425</v>
      </c>
      <c r="H22" s="1">
        <v>33788</v>
      </c>
      <c r="I22" s="1" t="s">
        <v>433</v>
      </c>
      <c r="J22" t="s">
        <v>444</v>
      </c>
      <c r="K22" s="12">
        <v>29.9</v>
      </c>
      <c r="L22" s="14">
        <f ca="1">TRUNC((TODAY()-TabelaBase[[#This Row],[Data Nascimento]])/365)</f>
        <v>33</v>
      </c>
      <c r="M22" s="14" t="str">
        <f ca="1">HLOOKUP(TabelaBase[[#This Row],[Idade]],$O$3:$R$4,2,TRUE)</f>
        <v>24-34</v>
      </c>
    </row>
    <row r="23" spans="2:13" x14ac:dyDescent="0.3">
      <c r="B23" s="11">
        <v>23826850226</v>
      </c>
      <c r="C23" t="s">
        <v>36</v>
      </c>
      <c r="D23" t="s">
        <v>5</v>
      </c>
      <c r="E23" t="s">
        <v>7</v>
      </c>
      <c r="F23" t="s">
        <v>13</v>
      </c>
      <c r="G23" t="s">
        <v>426</v>
      </c>
      <c r="H23" s="1">
        <v>25592</v>
      </c>
      <c r="I23" s="1" t="s">
        <v>433</v>
      </c>
      <c r="J23" t="s">
        <v>446</v>
      </c>
      <c r="K23" s="12">
        <v>9.9</v>
      </c>
      <c r="L23" s="14">
        <f ca="1">TRUNC((TODAY()-TabelaBase[[#This Row],[Data Nascimento]])/365)</f>
        <v>56</v>
      </c>
      <c r="M23" s="14" t="str">
        <f ca="1">HLOOKUP(TabelaBase[[#This Row],[Idade]],$O$3:$R$4,2,TRUE)</f>
        <v>54-70</v>
      </c>
    </row>
    <row r="24" spans="2:13" x14ac:dyDescent="0.3">
      <c r="B24" s="11">
        <v>23832649809</v>
      </c>
      <c r="C24" t="s">
        <v>198</v>
      </c>
      <c r="D24" t="s">
        <v>5</v>
      </c>
      <c r="E24" t="s">
        <v>417</v>
      </c>
      <c r="F24" t="s">
        <v>11</v>
      </c>
      <c r="G24" t="s">
        <v>426</v>
      </c>
      <c r="H24" s="1">
        <v>21969</v>
      </c>
      <c r="I24" s="1" t="s">
        <v>433</v>
      </c>
      <c r="J24" t="s">
        <v>447</v>
      </c>
      <c r="K24" s="12">
        <v>79.900000000000006</v>
      </c>
      <c r="L24" s="14">
        <f ca="1">TRUNC((TODAY()-TabelaBase[[#This Row],[Data Nascimento]])/365)</f>
        <v>65</v>
      </c>
      <c r="M24" s="14" t="str">
        <f ca="1">HLOOKUP(TabelaBase[[#This Row],[Idade]],$O$3:$R$4,2,TRUE)</f>
        <v>54-70</v>
      </c>
    </row>
    <row r="25" spans="2:13" x14ac:dyDescent="0.3">
      <c r="B25" s="11">
        <v>23901903684</v>
      </c>
      <c r="C25" t="s">
        <v>168</v>
      </c>
      <c r="D25" t="s">
        <v>6</v>
      </c>
      <c r="E25" t="s">
        <v>416</v>
      </c>
      <c r="F25" t="s">
        <v>13</v>
      </c>
      <c r="G25" t="s">
        <v>425</v>
      </c>
      <c r="H25" s="1">
        <v>31133</v>
      </c>
      <c r="I25" s="1" t="s">
        <v>433</v>
      </c>
      <c r="J25" t="s">
        <v>445</v>
      </c>
      <c r="K25" s="12">
        <v>35.9</v>
      </c>
      <c r="L25" s="14">
        <f ca="1">TRUNC((TODAY()-TabelaBase[[#This Row],[Data Nascimento]])/365)</f>
        <v>40</v>
      </c>
      <c r="M25" s="14" t="str">
        <f ca="1">HLOOKUP(TabelaBase[[#This Row],[Idade]],$O$3:$R$4,2,TRUE)</f>
        <v>35 - 44</v>
      </c>
    </row>
    <row r="26" spans="2:13" x14ac:dyDescent="0.3">
      <c r="B26" s="11">
        <v>23955738155</v>
      </c>
      <c r="C26" t="s">
        <v>299</v>
      </c>
      <c r="D26" t="s">
        <v>5</v>
      </c>
      <c r="E26" t="s">
        <v>8</v>
      </c>
      <c r="F26" t="s">
        <v>13</v>
      </c>
      <c r="G26" t="s">
        <v>426</v>
      </c>
      <c r="H26" s="1">
        <v>26045</v>
      </c>
      <c r="I26" s="1" t="s">
        <v>430</v>
      </c>
      <c r="J26" t="s">
        <v>444</v>
      </c>
      <c r="K26" s="12">
        <v>29.9</v>
      </c>
      <c r="L26" s="14">
        <f ca="1">TRUNC((TODAY()-TabelaBase[[#This Row],[Data Nascimento]])/365)</f>
        <v>54</v>
      </c>
      <c r="M26" s="14" t="str">
        <f ca="1">HLOOKUP(TabelaBase[[#This Row],[Idade]],$O$3:$R$4,2,TRUE)</f>
        <v>54-70</v>
      </c>
    </row>
    <row r="27" spans="2:13" x14ac:dyDescent="0.3">
      <c r="B27" s="11">
        <v>23985916849</v>
      </c>
      <c r="C27" t="s">
        <v>325</v>
      </c>
      <c r="D27" t="s">
        <v>5</v>
      </c>
      <c r="E27" t="s">
        <v>7</v>
      </c>
      <c r="F27" t="s">
        <v>427</v>
      </c>
      <c r="G27" t="s">
        <v>425</v>
      </c>
      <c r="H27" s="1">
        <v>33181</v>
      </c>
      <c r="I27" s="1" t="s">
        <v>429</v>
      </c>
      <c r="J27" t="s">
        <v>445</v>
      </c>
      <c r="K27" s="12">
        <v>35.9</v>
      </c>
      <c r="L27" s="14">
        <f ca="1">TRUNC((TODAY()-TabelaBase[[#This Row],[Data Nascimento]])/365)</f>
        <v>35</v>
      </c>
      <c r="M27" s="14" t="str">
        <f ca="1">HLOOKUP(TabelaBase[[#This Row],[Idade]],$O$3:$R$4,2,TRUE)</f>
        <v>35 - 44</v>
      </c>
    </row>
    <row r="28" spans="2:13" x14ac:dyDescent="0.3">
      <c r="B28" s="11">
        <v>24132591017</v>
      </c>
      <c r="C28" t="s">
        <v>199</v>
      </c>
      <c r="D28" t="s">
        <v>5</v>
      </c>
      <c r="E28" t="s">
        <v>8</v>
      </c>
      <c r="F28" t="s">
        <v>12</v>
      </c>
      <c r="G28" t="s">
        <v>425</v>
      </c>
      <c r="H28" s="1">
        <v>28504</v>
      </c>
      <c r="I28" s="1" t="s">
        <v>431</v>
      </c>
      <c r="J28" t="s">
        <v>447</v>
      </c>
      <c r="K28" s="12">
        <v>79.900000000000006</v>
      </c>
      <c r="L28" s="14">
        <f ca="1">TRUNC((TODAY()-TabelaBase[[#This Row],[Data Nascimento]])/365)</f>
        <v>48</v>
      </c>
      <c r="M28" s="14" t="str">
        <f ca="1">HLOOKUP(TabelaBase[[#This Row],[Idade]],$O$3:$R$4,2,TRUE)</f>
        <v>44 - 54</v>
      </c>
    </row>
    <row r="29" spans="2:13" x14ac:dyDescent="0.3">
      <c r="B29" s="11">
        <v>24163969033</v>
      </c>
      <c r="C29" t="s">
        <v>236</v>
      </c>
      <c r="D29" t="s">
        <v>6</v>
      </c>
      <c r="E29" t="s">
        <v>7</v>
      </c>
      <c r="F29" t="s">
        <v>13</v>
      </c>
      <c r="G29" t="s">
        <v>426</v>
      </c>
      <c r="H29" s="1">
        <v>34294</v>
      </c>
      <c r="I29" s="1" t="s">
        <v>432</v>
      </c>
      <c r="J29" t="s">
        <v>446</v>
      </c>
      <c r="K29" s="12">
        <v>9.9</v>
      </c>
      <c r="L29" s="14">
        <f ca="1">TRUNC((TODAY()-TabelaBase[[#This Row],[Data Nascimento]])/365)</f>
        <v>32</v>
      </c>
      <c r="M29" s="14" t="str">
        <f ca="1">HLOOKUP(TabelaBase[[#This Row],[Idade]],$O$3:$R$4,2,TRUE)</f>
        <v>24-34</v>
      </c>
    </row>
    <row r="30" spans="2:13" x14ac:dyDescent="0.3">
      <c r="B30" s="11">
        <v>24287997573</v>
      </c>
      <c r="C30" t="s">
        <v>20</v>
      </c>
      <c r="D30" t="s">
        <v>5</v>
      </c>
      <c r="E30" t="s">
        <v>7</v>
      </c>
      <c r="F30" t="s">
        <v>13</v>
      </c>
      <c r="G30" t="s">
        <v>425</v>
      </c>
      <c r="H30" s="1">
        <v>29298</v>
      </c>
      <c r="I30" s="1" t="s">
        <v>434</v>
      </c>
      <c r="J30" t="s">
        <v>446</v>
      </c>
      <c r="K30" s="12">
        <v>9.9</v>
      </c>
      <c r="L30" s="14">
        <f ca="1">TRUNC((TODAY()-TabelaBase[[#This Row],[Data Nascimento]])/365)</f>
        <v>45</v>
      </c>
      <c r="M30" s="14" t="str">
        <f ca="1">HLOOKUP(TabelaBase[[#This Row],[Idade]],$O$3:$R$4,2,TRUE)</f>
        <v>44 - 54</v>
      </c>
    </row>
    <row r="31" spans="2:13" x14ac:dyDescent="0.3">
      <c r="B31" s="11">
        <v>24399783131</v>
      </c>
      <c r="C31" t="s">
        <v>219</v>
      </c>
      <c r="D31" t="s">
        <v>5</v>
      </c>
      <c r="E31" t="s">
        <v>8</v>
      </c>
      <c r="F31" t="s">
        <v>9</v>
      </c>
      <c r="G31" t="s">
        <v>426</v>
      </c>
      <c r="H31" s="1">
        <v>21433</v>
      </c>
      <c r="I31" s="1" t="s">
        <v>430</v>
      </c>
      <c r="J31" t="s">
        <v>446</v>
      </c>
      <c r="K31" s="12">
        <v>9.9</v>
      </c>
      <c r="L31" s="14">
        <f ca="1">TRUNC((TODAY()-TabelaBase[[#This Row],[Data Nascimento]])/365)</f>
        <v>67</v>
      </c>
      <c r="M31" s="14" t="str">
        <f ca="1">HLOOKUP(TabelaBase[[#This Row],[Idade]],$O$3:$R$4,2,TRUE)</f>
        <v>54-70</v>
      </c>
    </row>
    <row r="32" spans="2:13" x14ac:dyDescent="0.3">
      <c r="B32" s="11">
        <v>24476290628</v>
      </c>
      <c r="C32" t="s">
        <v>63</v>
      </c>
      <c r="D32" t="s">
        <v>6</v>
      </c>
      <c r="E32" t="s">
        <v>7</v>
      </c>
      <c r="F32" t="s">
        <v>9</v>
      </c>
      <c r="G32" t="s">
        <v>424</v>
      </c>
      <c r="H32" s="1">
        <v>27317</v>
      </c>
      <c r="I32" s="1" t="s">
        <v>435</v>
      </c>
      <c r="J32" t="s">
        <v>446</v>
      </c>
      <c r="K32" s="12">
        <v>9.9</v>
      </c>
      <c r="L32" s="14">
        <f ca="1">TRUNC((TODAY()-TabelaBase[[#This Row],[Data Nascimento]])/365)</f>
        <v>51</v>
      </c>
      <c r="M32" s="14" t="str">
        <f ca="1">HLOOKUP(TabelaBase[[#This Row],[Idade]],$O$3:$R$4,2,TRUE)</f>
        <v>44 - 54</v>
      </c>
    </row>
    <row r="33" spans="2:13" x14ac:dyDescent="0.3">
      <c r="B33" s="11">
        <v>24501506609</v>
      </c>
      <c r="C33" t="s">
        <v>30</v>
      </c>
      <c r="D33" t="s">
        <v>5</v>
      </c>
      <c r="E33" t="s">
        <v>7</v>
      </c>
      <c r="F33" t="s">
        <v>11</v>
      </c>
      <c r="G33" t="s">
        <v>426</v>
      </c>
      <c r="H33" s="1">
        <v>24903</v>
      </c>
      <c r="I33" s="1" t="s">
        <v>436</v>
      </c>
      <c r="J33" t="s">
        <v>447</v>
      </c>
      <c r="K33" s="12">
        <v>79.900000000000006</v>
      </c>
      <c r="L33" s="14">
        <f ca="1">TRUNC((TODAY()-TabelaBase[[#This Row],[Data Nascimento]])/365)</f>
        <v>57</v>
      </c>
      <c r="M33" s="14" t="str">
        <f ca="1">HLOOKUP(TabelaBase[[#This Row],[Idade]],$O$3:$R$4,2,TRUE)</f>
        <v>54-70</v>
      </c>
    </row>
    <row r="34" spans="2:13" x14ac:dyDescent="0.3">
      <c r="B34" s="11">
        <v>24571944346</v>
      </c>
      <c r="C34" t="s">
        <v>243</v>
      </c>
      <c r="D34" t="s">
        <v>5</v>
      </c>
      <c r="E34" t="s">
        <v>7</v>
      </c>
      <c r="F34" t="s">
        <v>9</v>
      </c>
      <c r="G34" t="s">
        <v>424</v>
      </c>
      <c r="H34" s="1">
        <v>21653</v>
      </c>
      <c r="I34" s="1" t="s">
        <v>430</v>
      </c>
      <c r="J34" t="s">
        <v>446</v>
      </c>
      <c r="K34" s="12">
        <v>9.9</v>
      </c>
      <c r="L34" s="14">
        <f ca="1">TRUNC((TODAY()-TabelaBase[[#This Row],[Data Nascimento]])/365)</f>
        <v>66</v>
      </c>
      <c r="M34" s="14" t="str">
        <f ca="1">HLOOKUP(TabelaBase[[#This Row],[Idade]],$O$3:$R$4,2,TRUE)</f>
        <v>54-70</v>
      </c>
    </row>
    <row r="35" spans="2:13" x14ac:dyDescent="0.3">
      <c r="B35" s="11">
        <v>24787984175</v>
      </c>
      <c r="C35" t="s">
        <v>244</v>
      </c>
      <c r="D35" t="s">
        <v>6</v>
      </c>
      <c r="E35" t="s">
        <v>418</v>
      </c>
      <c r="F35" t="s">
        <v>14</v>
      </c>
      <c r="G35" t="s">
        <v>425</v>
      </c>
      <c r="H35" s="1">
        <v>34867</v>
      </c>
      <c r="I35" s="1" t="s">
        <v>435</v>
      </c>
      <c r="J35" t="s">
        <v>444</v>
      </c>
      <c r="K35" s="12">
        <v>29.9</v>
      </c>
      <c r="L35" s="14">
        <f ca="1">TRUNC((TODAY()-TabelaBase[[#This Row],[Data Nascimento]])/365)</f>
        <v>30</v>
      </c>
      <c r="M35" s="14" t="str">
        <f ca="1">HLOOKUP(TabelaBase[[#This Row],[Idade]],$O$3:$R$4,2,TRUE)</f>
        <v>24-34</v>
      </c>
    </row>
    <row r="36" spans="2:13" x14ac:dyDescent="0.3">
      <c r="B36" s="11">
        <v>25119128692</v>
      </c>
      <c r="C36" t="s">
        <v>265</v>
      </c>
      <c r="D36" t="s">
        <v>5</v>
      </c>
      <c r="E36" t="s">
        <v>7</v>
      </c>
      <c r="F36" t="s">
        <v>12</v>
      </c>
      <c r="G36" t="s">
        <v>425</v>
      </c>
      <c r="H36" s="1">
        <v>30384</v>
      </c>
      <c r="I36" s="1" t="s">
        <v>436</v>
      </c>
      <c r="J36" t="s">
        <v>445</v>
      </c>
      <c r="K36" s="12">
        <v>35.9</v>
      </c>
      <c r="L36" s="14">
        <f ca="1">TRUNC((TODAY()-TabelaBase[[#This Row],[Data Nascimento]])/365)</f>
        <v>42</v>
      </c>
      <c r="M36" s="14" t="str">
        <f ca="1">HLOOKUP(TabelaBase[[#This Row],[Idade]],$O$3:$R$4,2,TRUE)</f>
        <v>35 - 44</v>
      </c>
    </row>
    <row r="37" spans="2:13" x14ac:dyDescent="0.3">
      <c r="B37" s="11">
        <v>25186825602</v>
      </c>
      <c r="C37" t="s">
        <v>287</v>
      </c>
      <c r="D37" t="s">
        <v>6</v>
      </c>
      <c r="E37" t="s">
        <v>7</v>
      </c>
      <c r="F37" t="s">
        <v>427</v>
      </c>
      <c r="G37" t="s">
        <v>425</v>
      </c>
      <c r="H37" s="1">
        <v>23124</v>
      </c>
      <c r="I37" s="1" t="s">
        <v>433</v>
      </c>
      <c r="J37" t="s">
        <v>444</v>
      </c>
      <c r="K37" s="12">
        <v>29.9</v>
      </c>
      <c r="L37" s="14">
        <f ca="1">TRUNC((TODAY()-TabelaBase[[#This Row],[Data Nascimento]])/365)</f>
        <v>62</v>
      </c>
      <c r="M37" s="14" t="str">
        <f ca="1">HLOOKUP(TabelaBase[[#This Row],[Idade]],$O$3:$R$4,2,TRUE)</f>
        <v>54-70</v>
      </c>
    </row>
    <row r="38" spans="2:13" x14ac:dyDescent="0.3">
      <c r="B38" s="11">
        <v>25259510243</v>
      </c>
      <c r="C38" t="s">
        <v>40</v>
      </c>
      <c r="D38" t="s">
        <v>5</v>
      </c>
      <c r="E38" t="s">
        <v>7</v>
      </c>
      <c r="F38" t="s">
        <v>14</v>
      </c>
      <c r="G38" t="s">
        <v>426</v>
      </c>
      <c r="H38" s="1">
        <v>26741</v>
      </c>
      <c r="I38" s="1" t="s">
        <v>433</v>
      </c>
      <c r="J38" t="s">
        <v>446</v>
      </c>
      <c r="K38" s="12">
        <v>9.9</v>
      </c>
      <c r="L38" s="14">
        <f ca="1">TRUNC((TODAY()-TabelaBase[[#This Row],[Data Nascimento]])/365)</f>
        <v>52</v>
      </c>
      <c r="M38" s="14" t="str">
        <f ca="1">HLOOKUP(TabelaBase[[#This Row],[Idade]],$O$3:$R$4,2,TRUE)</f>
        <v>44 - 54</v>
      </c>
    </row>
    <row r="39" spans="2:13" x14ac:dyDescent="0.3">
      <c r="B39" s="11">
        <v>25299040876</v>
      </c>
      <c r="C39" t="s">
        <v>184</v>
      </c>
      <c r="D39" t="s">
        <v>5</v>
      </c>
      <c r="E39" t="s">
        <v>417</v>
      </c>
      <c r="F39" t="s">
        <v>14</v>
      </c>
      <c r="G39" t="s">
        <v>425</v>
      </c>
      <c r="H39" s="1">
        <v>22002</v>
      </c>
      <c r="I39" s="1" t="s">
        <v>433</v>
      </c>
      <c r="J39" t="s">
        <v>446</v>
      </c>
      <c r="K39" s="12">
        <v>9.9</v>
      </c>
      <c r="L39" s="14">
        <f ca="1">TRUNC((TODAY()-TabelaBase[[#This Row],[Data Nascimento]])/365)</f>
        <v>65</v>
      </c>
      <c r="M39" s="14" t="str">
        <f ca="1">HLOOKUP(TabelaBase[[#This Row],[Idade]],$O$3:$R$4,2,TRUE)</f>
        <v>54-70</v>
      </c>
    </row>
    <row r="40" spans="2:13" x14ac:dyDescent="0.3">
      <c r="B40" s="11">
        <v>25585315115</v>
      </c>
      <c r="C40" t="s">
        <v>309</v>
      </c>
      <c r="D40" t="s">
        <v>6</v>
      </c>
      <c r="E40" t="s">
        <v>8</v>
      </c>
      <c r="F40" t="s">
        <v>427</v>
      </c>
      <c r="G40" t="s">
        <v>426</v>
      </c>
      <c r="H40" s="1">
        <v>28355</v>
      </c>
      <c r="I40" s="1" t="s">
        <v>433</v>
      </c>
      <c r="J40" t="s">
        <v>446</v>
      </c>
      <c r="K40" s="12">
        <v>9.9</v>
      </c>
      <c r="L40" s="14">
        <f ca="1">TRUNC((TODAY()-TabelaBase[[#This Row],[Data Nascimento]])/365)</f>
        <v>48</v>
      </c>
      <c r="M40" s="14" t="str">
        <f ca="1">HLOOKUP(TabelaBase[[#This Row],[Idade]],$O$3:$R$4,2,TRUE)</f>
        <v>44 - 54</v>
      </c>
    </row>
    <row r="41" spans="2:13" x14ac:dyDescent="0.3">
      <c r="B41" s="11">
        <v>25620590447</v>
      </c>
      <c r="C41" t="s">
        <v>90</v>
      </c>
      <c r="D41" t="s">
        <v>5</v>
      </c>
      <c r="E41" t="s">
        <v>7</v>
      </c>
      <c r="F41" t="s">
        <v>11</v>
      </c>
      <c r="G41" t="s">
        <v>426</v>
      </c>
      <c r="H41" s="1">
        <v>32844</v>
      </c>
      <c r="I41" s="1" t="s">
        <v>433</v>
      </c>
      <c r="J41" t="s">
        <v>447</v>
      </c>
      <c r="K41" s="12">
        <v>79.900000000000006</v>
      </c>
      <c r="L41" s="14">
        <f ca="1">TRUNC((TODAY()-TabelaBase[[#This Row],[Data Nascimento]])/365)</f>
        <v>36</v>
      </c>
      <c r="M41" s="14" t="str">
        <f ca="1">HLOOKUP(TabelaBase[[#This Row],[Idade]],$O$3:$R$4,2,TRUE)</f>
        <v>35 - 44</v>
      </c>
    </row>
    <row r="42" spans="2:13" x14ac:dyDescent="0.3">
      <c r="B42" s="11">
        <v>25690893853</v>
      </c>
      <c r="C42" t="s">
        <v>255</v>
      </c>
      <c r="D42" t="s">
        <v>5</v>
      </c>
      <c r="E42" t="s">
        <v>417</v>
      </c>
      <c r="F42" t="s">
        <v>9</v>
      </c>
      <c r="G42" t="s">
        <v>425</v>
      </c>
      <c r="H42" s="1">
        <v>22758</v>
      </c>
      <c r="I42" s="1" t="s">
        <v>433</v>
      </c>
      <c r="J42" t="s">
        <v>446</v>
      </c>
      <c r="K42" s="12">
        <v>9.9</v>
      </c>
      <c r="L42" s="14">
        <f ca="1">TRUNC((TODAY()-TabelaBase[[#This Row],[Data Nascimento]])/365)</f>
        <v>63</v>
      </c>
      <c r="M42" s="14" t="str">
        <f ca="1">HLOOKUP(TabelaBase[[#This Row],[Idade]],$O$3:$R$4,2,TRUE)</f>
        <v>54-70</v>
      </c>
    </row>
    <row r="43" spans="2:13" x14ac:dyDescent="0.3">
      <c r="B43" s="11">
        <v>25770108240</v>
      </c>
      <c r="C43" t="s">
        <v>141</v>
      </c>
      <c r="D43" t="s">
        <v>6</v>
      </c>
      <c r="E43" t="s">
        <v>417</v>
      </c>
      <c r="F43" t="s">
        <v>427</v>
      </c>
      <c r="G43" t="s">
        <v>425</v>
      </c>
      <c r="H43" s="1">
        <v>30937</v>
      </c>
      <c r="I43" s="1" t="s">
        <v>433</v>
      </c>
      <c r="J43" t="s">
        <v>446</v>
      </c>
      <c r="K43" s="12">
        <v>9.9</v>
      </c>
      <c r="L43" s="14">
        <f ca="1">TRUNC((TODAY()-TabelaBase[[#This Row],[Data Nascimento]])/365)</f>
        <v>41</v>
      </c>
      <c r="M43" s="14" t="str">
        <f ca="1">HLOOKUP(TabelaBase[[#This Row],[Idade]],$O$3:$R$4,2,TRUE)</f>
        <v>35 - 44</v>
      </c>
    </row>
    <row r="44" spans="2:13" x14ac:dyDescent="0.3">
      <c r="B44" s="11">
        <v>26133183584</v>
      </c>
      <c r="C44" t="s">
        <v>228</v>
      </c>
      <c r="D44" t="s">
        <v>6</v>
      </c>
      <c r="E44" t="s">
        <v>416</v>
      </c>
      <c r="F44" t="s">
        <v>13</v>
      </c>
      <c r="G44" t="s">
        <v>425</v>
      </c>
      <c r="H44" s="1">
        <v>32741</v>
      </c>
      <c r="I44" s="1" t="s">
        <v>433</v>
      </c>
      <c r="J44" t="s">
        <v>446</v>
      </c>
      <c r="K44" s="12">
        <v>9.9</v>
      </c>
      <c r="L44" s="14">
        <f ca="1">TRUNC((TODAY()-TabelaBase[[#This Row],[Data Nascimento]])/365)</f>
        <v>36</v>
      </c>
      <c r="M44" s="14" t="str">
        <f ca="1">HLOOKUP(TabelaBase[[#This Row],[Idade]],$O$3:$R$4,2,TRUE)</f>
        <v>35 - 44</v>
      </c>
    </row>
    <row r="45" spans="2:13" x14ac:dyDescent="0.3">
      <c r="B45" s="11">
        <v>26552662070</v>
      </c>
      <c r="C45" t="s">
        <v>114</v>
      </c>
      <c r="D45" t="s">
        <v>5</v>
      </c>
      <c r="E45" t="s">
        <v>417</v>
      </c>
      <c r="F45" t="s">
        <v>11</v>
      </c>
      <c r="G45" t="s">
        <v>425</v>
      </c>
      <c r="H45" s="1">
        <v>21192</v>
      </c>
      <c r="I45" s="1" t="s">
        <v>433</v>
      </c>
      <c r="J45" t="s">
        <v>447</v>
      </c>
      <c r="K45" s="12">
        <v>79.900000000000006</v>
      </c>
      <c r="L45" s="14">
        <f ca="1">TRUNC((TODAY()-TabelaBase[[#This Row],[Data Nascimento]])/365)</f>
        <v>68</v>
      </c>
      <c r="M45" s="14" t="str">
        <f ca="1">HLOOKUP(TabelaBase[[#This Row],[Idade]],$O$3:$R$4,2,TRUE)</f>
        <v>54-70</v>
      </c>
    </row>
    <row r="46" spans="2:13" x14ac:dyDescent="0.3">
      <c r="B46" s="11">
        <v>26642966334</v>
      </c>
      <c r="C46" t="s">
        <v>15</v>
      </c>
      <c r="D46" t="s">
        <v>6</v>
      </c>
      <c r="E46" t="s">
        <v>417</v>
      </c>
      <c r="F46" t="s">
        <v>9</v>
      </c>
      <c r="G46" t="s">
        <v>425</v>
      </c>
      <c r="H46" s="1">
        <v>27136</v>
      </c>
      <c r="I46" s="1" t="s">
        <v>429</v>
      </c>
      <c r="J46" t="s">
        <v>446</v>
      </c>
      <c r="K46" s="12">
        <v>9.9</v>
      </c>
      <c r="L46" s="14">
        <f ca="1">TRUNC((TODAY()-TabelaBase[[#This Row],[Data Nascimento]])/365)</f>
        <v>51</v>
      </c>
      <c r="M46" s="14" t="str">
        <f ca="1">HLOOKUP(TabelaBase[[#This Row],[Idade]],$O$3:$R$4,2,TRUE)</f>
        <v>44 - 54</v>
      </c>
    </row>
    <row r="47" spans="2:13" x14ac:dyDescent="0.3">
      <c r="B47" s="11">
        <v>26713299497</v>
      </c>
      <c r="C47" t="s">
        <v>288</v>
      </c>
      <c r="D47" t="s">
        <v>6</v>
      </c>
      <c r="E47" t="s">
        <v>416</v>
      </c>
      <c r="F47" t="s">
        <v>13</v>
      </c>
      <c r="G47" t="s">
        <v>425</v>
      </c>
      <c r="H47" s="1">
        <v>23231</v>
      </c>
      <c r="I47" s="1" t="s">
        <v>432</v>
      </c>
      <c r="J47" t="s">
        <v>445</v>
      </c>
      <c r="K47" s="12">
        <v>35.9</v>
      </c>
      <c r="L47" s="14">
        <f ca="1">TRUNC((TODAY()-TabelaBase[[#This Row],[Data Nascimento]])/365)</f>
        <v>62</v>
      </c>
      <c r="M47" s="14" t="str">
        <f ca="1">HLOOKUP(TabelaBase[[#This Row],[Idade]],$O$3:$R$4,2,TRUE)</f>
        <v>54-70</v>
      </c>
    </row>
    <row r="48" spans="2:13" x14ac:dyDescent="0.3">
      <c r="B48" s="11">
        <v>26748985558</v>
      </c>
      <c r="C48" t="s">
        <v>91</v>
      </c>
      <c r="D48" t="s">
        <v>6</v>
      </c>
      <c r="E48" t="s">
        <v>416</v>
      </c>
      <c r="F48" t="s">
        <v>12</v>
      </c>
      <c r="G48" t="s">
        <v>424</v>
      </c>
      <c r="H48" s="1">
        <v>22322</v>
      </c>
      <c r="I48" s="1" t="s">
        <v>436</v>
      </c>
      <c r="J48" t="s">
        <v>446</v>
      </c>
      <c r="K48" s="12">
        <v>9.9</v>
      </c>
      <c r="L48" s="14">
        <f ca="1">TRUNC((TODAY()-TabelaBase[[#This Row],[Data Nascimento]])/365)</f>
        <v>64</v>
      </c>
      <c r="M48" s="14" t="str">
        <f ca="1">HLOOKUP(TabelaBase[[#This Row],[Idade]],$O$3:$R$4,2,TRUE)</f>
        <v>54-70</v>
      </c>
    </row>
    <row r="49" spans="2:13" x14ac:dyDescent="0.3">
      <c r="B49" s="11">
        <v>26768816675</v>
      </c>
      <c r="C49" t="s">
        <v>110</v>
      </c>
      <c r="D49" t="s">
        <v>5</v>
      </c>
      <c r="E49" t="s">
        <v>7</v>
      </c>
      <c r="F49" t="s">
        <v>13</v>
      </c>
      <c r="G49" t="s">
        <v>426</v>
      </c>
      <c r="H49" s="1">
        <v>32712</v>
      </c>
      <c r="I49" s="1" t="s">
        <v>436</v>
      </c>
      <c r="J49" t="s">
        <v>446</v>
      </c>
      <c r="K49" s="12">
        <v>9.9</v>
      </c>
      <c r="L49" s="14">
        <f ca="1">TRUNC((TODAY()-TabelaBase[[#This Row],[Data Nascimento]])/365)</f>
        <v>36</v>
      </c>
      <c r="M49" s="14" t="str">
        <f ca="1">HLOOKUP(TabelaBase[[#This Row],[Idade]],$O$3:$R$4,2,TRUE)</f>
        <v>35 - 44</v>
      </c>
    </row>
    <row r="50" spans="2:13" x14ac:dyDescent="0.3">
      <c r="B50" s="11">
        <v>26864897176</v>
      </c>
      <c r="C50" t="s">
        <v>352</v>
      </c>
      <c r="D50" t="s">
        <v>6</v>
      </c>
      <c r="E50" t="s">
        <v>8</v>
      </c>
      <c r="F50" t="s">
        <v>14</v>
      </c>
      <c r="G50" t="s">
        <v>425</v>
      </c>
      <c r="H50" s="1">
        <v>23831</v>
      </c>
      <c r="I50" s="1" t="s">
        <v>436</v>
      </c>
      <c r="J50" t="s">
        <v>444</v>
      </c>
      <c r="K50" s="12">
        <v>29.9</v>
      </c>
      <c r="L50" s="14">
        <f ca="1">TRUNC((TODAY()-TabelaBase[[#This Row],[Data Nascimento]])/365)</f>
        <v>60</v>
      </c>
      <c r="M50" s="14" t="str">
        <f ca="1">HLOOKUP(TabelaBase[[#This Row],[Idade]],$O$3:$R$4,2,TRUE)</f>
        <v>54-70</v>
      </c>
    </row>
    <row r="51" spans="2:13" x14ac:dyDescent="0.3">
      <c r="B51" s="11">
        <v>26887944990</v>
      </c>
      <c r="C51" t="s">
        <v>361</v>
      </c>
      <c r="D51" t="s">
        <v>6</v>
      </c>
      <c r="E51" t="s">
        <v>417</v>
      </c>
      <c r="F51" t="s">
        <v>12</v>
      </c>
      <c r="G51" t="s">
        <v>425</v>
      </c>
      <c r="H51" s="1">
        <v>25897</v>
      </c>
      <c r="I51" s="1" t="s">
        <v>436</v>
      </c>
      <c r="J51" t="s">
        <v>445</v>
      </c>
      <c r="K51" s="12">
        <v>35.9</v>
      </c>
      <c r="L51" s="14">
        <f ca="1">TRUNC((TODAY()-TabelaBase[[#This Row],[Data Nascimento]])/365)</f>
        <v>55</v>
      </c>
      <c r="M51" s="14" t="str">
        <f ca="1">HLOOKUP(TabelaBase[[#This Row],[Idade]],$O$3:$R$4,2,TRUE)</f>
        <v>54-70</v>
      </c>
    </row>
    <row r="52" spans="2:13" x14ac:dyDescent="0.3">
      <c r="B52" s="11">
        <v>27177199946</v>
      </c>
      <c r="C52" t="s">
        <v>277</v>
      </c>
      <c r="D52" t="s">
        <v>5</v>
      </c>
      <c r="E52" t="s">
        <v>7</v>
      </c>
      <c r="F52" t="s">
        <v>427</v>
      </c>
      <c r="G52" t="s">
        <v>425</v>
      </c>
      <c r="H52" s="1">
        <v>34831</v>
      </c>
      <c r="I52" s="1" t="s">
        <v>436</v>
      </c>
      <c r="J52" t="s">
        <v>445</v>
      </c>
      <c r="K52" s="12">
        <v>35.9</v>
      </c>
      <c r="L52" s="14">
        <f ca="1">TRUNC((TODAY()-TabelaBase[[#This Row],[Data Nascimento]])/365)</f>
        <v>30</v>
      </c>
      <c r="M52" s="14" t="str">
        <f ca="1">HLOOKUP(TabelaBase[[#This Row],[Idade]],$O$3:$R$4,2,TRUE)</f>
        <v>24-34</v>
      </c>
    </row>
    <row r="53" spans="2:13" x14ac:dyDescent="0.3">
      <c r="B53" s="11">
        <v>27285805125</v>
      </c>
      <c r="C53" t="s">
        <v>296</v>
      </c>
      <c r="D53" t="s">
        <v>5</v>
      </c>
      <c r="E53" t="s">
        <v>7</v>
      </c>
      <c r="F53" t="s">
        <v>13</v>
      </c>
      <c r="G53" t="s">
        <v>426</v>
      </c>
      <c r="H53" s="1">
        <v>31848</v>
      </c>
      <c r="I53" s="1" t="s">
        <v>436</v>
      </c>
      <c r="J53" t="s">
        <v>444</v>
      </c>
      <c r="K53" s="12">
        <v>29.9</v>
      </c>
      <c r="L53" s="14">
        <f ca="1">TRUNC((TODAY()-TabelaBase[[#This Row],[Data Nascimento]])/365)</f>
        <v>38</v>
      </c>
      <c r="M53" s="14" t="str">
        <f ca="1">HLOOKUP(TabelaBase[[#This Row],[Idade]],$O$3:$R$4,2,TRUE)</f>
        <v>35 - 44</v>
      </c>
    </row>
    <row r="54" spans="2:13" x14ac:dyDescent="0.3">
      <c r="B54" s="11">
        <v>27448464474</v>
      </c>
      <c r="C54" t="s">
        <v>206</v>
      </c>
      <c r="D54" t="s">
        <v>5</v>
      </c>
      <c r="E54" t="s">
        <v>417</v>
      </c>
      <c r="F54" t="s">
        <v>13</v>
      </c>
      <c r="G54" t="s">
        <v>426</v>
      </c>
      <c r="H54" s="1">
        <v>26478</v>
      </c>
      <c r="I54" s="1" t="s">
        <v>435</v>
      </c>
      <c r="J54" t="s">
        <v>446</v>
      </c>
      <c r="K54" s="12">
        <v>9.9</v>
      </c>
      <c r="L54" s="14">
        <f ca="1">TRUNC((TODAY()-TabelaBase[[#This Row],[Data Nascimento]])/365)</f>
        <v>53</v>
      </c>
      <c r="M54" s="14" t="str">
        <f ca="1">HLOOKUP(TabelaBase[[#This Row],[Idade]],$O$3:$R$4,2,TRUE)</f>
        <v>44 - 54</v>
      </c>
    </row>
    <row r="55" spans="2:13" x14ac:dyDescent="0.3">
      <c r="B55" s="11">
        <v>27575618320</v>
      </c>
      <c r="C55" t="s">
        <v>267</v>
      </c>
      <c r="D55" t="s">
        <v>5</v>
      </c>
      <c r="E55" t="s">
        <v>7</v>
      </c>
      <c r="F55" t="s">
        <v>9</v>
      </c>
      <c r="G55" t="s">
        <v>425</v>
      </c>
      <c r="H55" s="1">
        <v>34634</v>
      </c>
      <c r="I55" s="1" t="s">
        <v>433</v>
      </c>
      <c r="J55" t="s">
        <v>446</v>
      </c>
      <c r="K55" s="12">
        <v>9.9</v>
      </c>
      <c r="L55" s="14">
        <f ca="1">TRUNC((TODAY()-TabelaBase[[#This Row],[Data Nascimento]])/365)</f>
        <v>31</v>
      </c>
      <c r="M55" s="14" t="str">
        <f ca="1">HLOOKUP(TabelaBase[[#This Row],[Idade]],$O$3:$R$4,2,TRUE)</f>
        <v>24-34</v>
      </c>
    </row>
    <row r="56" spans="2:13" x14ac:dyDescent="0.3">
      <c r="B56" s="11">
        <v>27679793781</v>
      </c>
      <c r="C56" t="s">
        <v>82</v>
      </c>
      <c r="D56" t="s">
        <v>5</v>
      </c>
      <c r="E56" t="s">
        <v>8</v>
      </c>
      <c r="F56" t="s">
        <v>14</v>
      </c>
      <c r="G56" t="s">
        <v>424</v>
      </c>
      <c r="H56" s="1">
        <v>22322</v>
      </c>
      <c r="I56" s="1" t="s">
        <v>433</v>
      </c>
      <c r="J56" t="s">
        <v>444</v>
      </c>
      <c r="K56" s="12">
        <v>29.9</v>
      </c>
      <c r="L56" s="14">
        <f ca="1">TRUNC((TODAY()-TabelaBase[[#This Row],[Data Nascimento]])/365)</f>
        <v>64</v>
      </c>
      <c r="M56" s="14" t="str">
        <f ca="1">HLOOKUP(TabelaBase[[#This Row],[Idade]],$O$3:$R$4,2,TRUE)</f>
        <v>54-70</v>
      </c>
    </row>
    <row r="57" spans="2:13" x14ac:dyDescent="0.3">
      <c r="B57" s="11">
        <v>27696929974</v>
      </c>
      <c r="C57" t="s">
        <v>212</v>
      </c>
      <c r="D57" t="s">
        <v>6</v>
      </c>
      <c r="E57" t="s">
        <v>8</v>
      </c>
      <c r="F57" t="s">
        <v>13</v>
      </c>
      <c r="G57" t="s">
        <v>425</v>
      </c>
      <c r="H57" s="1">
        <v>23205</v>
      </c>
      <c r="I57" s="1" t="s">
        <v>433</v>
      </c>
      <c r="J57" t="s">
        <v>446</v>
      </c>
      <c r="K57" s="12">
        <v>9.9</v>
      </c>
      <c r="L57" s="14">
        <f ca="1">TRUNC((TODAY()-TabelaBase[[#This Row],[Data Nascimento]])/365)</f>
        <v>62</v>
      </c>
      <c r="M57" s="14" t="str">
        <f ca="1">HLOOKUP(TabelaBase[[#This Row],[Idade]],$O$3:$R$4,2,TRUE)</f>
        <v>54-70</v>
      </c>
    </row>
    <row r="58" spans="2:13" x14ac:dyDescent="0.3">
      <c r="B58" s="11">
        <v>27712009563</v>
      </c>
      <c r="C58" t="s">
        <v>83</v>
      </c>
      <c r="D58" t="s">
        <v>6</v>
      </c>
      <c r="E58" t="s">
        <v>7</v>
      </c>
      <c r="F58" t="s">
        <v>13</v>
      </c>
      <c r="G58" t="s">
        <v>424</v>
      </c>
      <c r="H58" s="1">
        <v>24329</v>
      </c>
      <c r="I58" s="1" t="s">
        <v>433</v>
      </c>
      <c r="J58" t="s">
        <v>444</v>
      </c>
      <c r="K58" s="12">
        <v>29.9</v>
      </c>
      <c r="L58" s="14">
        <f ca="1">TRUNC((TODAY()-TabelaBase[[#This Row],[Data Nascimento]])/365)</f>
        <v>59</v>
      </c>
      <c r="M58" s="14" t="str">
        <f ca="1">HLOOKUP(TabelaBase[[#This Row],[Idade]],$O$3:$R$4,2,TRUE)</f>
        <v>54-70</v>
      </c>
    </row>
    <row r="59" spans="2:13" x14ac:dyDescent="0.3">
      <c r="B59" s="11">
        <v>27720063292</v>
      </c>
      <c r="C59" t="s">
        <v>347</v>
      </c>
      <c r="D59" t="s">
        <v>5</v>
      </c>
      <c r="E59" t="s">
        <v>7</v>
      </c>
      <c r="F59" t="s">
        <v>13</v>
      </c>
      <c r="G59" t="s">
        <v>425</v>
      </c>
      <c r="H59" s="1">
        <v>32864</v>
      </c>
      <c r="I59" s="1" t="s">
        <v>433</v>
      </c>
      <c r="J59" t="s">
        <v>444</v>
      </c>
      <c r="K59" s="12">
        <v>29.9</v>
      </c>
      <c r="L59" s="14">
        <f ca="1">TRUNC((TODAY()-TabelaBase[[#This Row],[Data Nascimento]])/365)</f>
        <v>36</v>
      </c>
      <c r="M59" s="14" t="str">
        <f ca="1">HLOOKUP(TabelaBase[[#This Row],[Idade]],$O$3:$R$4,2,TRUE)</f>
        <v>35 - 44</v>
      </c>
    </row>
    <row r="60" spans="2:13" x14ac:dyDescent="0.3">
      <c r="B60" s="11">
        <v>27733422032</v>
      </c>
      <c r="C60" t="s">
        <v>196</v>
      </c>
      <c r="D60" t="s">
        <v>5</v>
      </c>
      <c r="E60" t="s">
        <v>7</v>
      </c>
      <c r="F60" t="s">
        <v>14</v>
      </c>
      <c r="G60" t="s">
        <v>426</v>
      </c>
      <c r="H60" s="1">
        <v>32343</v>
      </c>
      <c r="I60" s="1" t="s">
        <v>430</v>
      </c>
      <c r="J60" t="s">
        <v>444</v>
      </c>
      <c r="K60" s="12">
        <v>29.9</v>
      </c>
      <c r="L60" s="14">
        <f ca="1">TRUNC((TODAY()-TabelaBase[[#This Row],[Data Nascimento]])/365)</f>
        <v>37</v>
      </c>
      <c r="M60" s="14" t="str">
        <f ca="1">HLOOKUP(TabelaBase[[#This Row],[Idade]],$O$3:$R$4,2,TRUE)</f>
        <v>35 - 44</v>
      </c>
    </row>
    <row r="61" spans="2:13" x14ac:dyDescent="0.3">
      <c r="B61" s="11">
        <v>27882905440</v>
      </c>
      <c r="C61" t="s">
        <v>240</v>
      </c>
      <c r="D61" t="s">
        <v>6</v>
      </c>
      <c r="E61" t="s">
        <v>7</v>
      </c>
      <c r="F61" t="s">
        <v>13</v>
      </c>
      <c r="G61" t="s">
        <v>426</v>
      </c>
      <c r="H61" s="1">
        <v>30770</v>
      </c>
      <c r="I61" s="1" t="s">
        <v>429</v>
      </c>
      <c r="J61" t="s">
        <v>445</v>
      </c>
      <c r="K61" s="12">
        <v>35.9</v>
      </c>
      <c r="L61" s="14">
        <f ca="1">TRUNC((TODAY()-TabelaBase[[#This Row],[Data Nascimento]])/365)</f>
        <v>41</v>
      </c>
      <c r="M61" s="14" t="str">
        <f ca="1">HLOOKUP(TabelaBase[[#This Row],[Idade]],$O$3:$R$4,2,TRUE)</f>
        <v>35 - 44</v>
      </c>
    </row>
    <row r="62" spans="2:13" x14ac:dyDescent="0.3">
      <c r="B62" s="11">
        <v>27972353916</v>
      </c>
      <c r="C62" t="s">
        <v>95</v>
      </c>
      <c r="D62" t="s">
        <v>6</v>
      </c>
      <c r="E62" t="s">
        <v>417</v>
      </c>
      <c r="F62" t="s">
        <v>427</v>
      </c>
      <c r="G62" t="s">
        <v>425</v>
      </c>
      <c r="H62" s="1">
        <v>26420</v>
      </c>
      <c r="I62" s="1" t="s">
        <v>431</v>
      </c>
      <c r="J62" t="s">
        <v>444</v>
      </c>
      <c r="K62" s="12">
        <v>29.9</v>
      </c>
      <c r="L62" s="14">
        <f ca="1">TRUNC((TODAY()-TabelaBase[[#This Row],[Data Nascimento]])/365)</f>
        <v>53</v>
      </c>
      <c r="M62" s="14" t="str">
        <f ca="1">HLOOKUP(TabelaBase[[#This Row],[Idade]],$O$3:$R$4,2,TRUE)</f>
        <v>44 - 54</v>
      </c>
    </row>
    <row r="63" spans="2:13" x14ac:dyDescent="0.3">
      <c r="B63" s="11">
        <v>28013158370</v>
      </c>
      <c r="C63" t="s">
        <v>410</v>
      </c>
      <c r="D63" t="s">
        <v>5</v>
      </c>
      <c r="E63" t="s">
        <v>7</v>
      </c>
      <c r="F63" t="s">
        <v>13</v>
      </c>
      <c r="G63" t="s">
        <v>426</v>
      </c>
      <c r="H63" s="1">
        <v>21076</v>
      </c>
      <c r="I63" s="1" t="s">
        <v>432</v>
      </c>
      <c r="J63" t="s">
        <v>447</v>
      </c>
      <c r="K63" s="12">
        <v>79.900000000000006</v>
      </c>
      <c r="L63" s="14">
        <f ca="1">TRUNC((TODAY()-TabelaBase[[#This Row],[Data Nascimento]])/365)</f>
        <v>68</v>
      </c>
      <c r="M63" s="14" t="str">
        <f ca="1">HLOOKUP(TabelaBase[[#This Row],[Idade]],$O$3:$R$4,2,TRUE)</f>
        <v>54-70</v>
      </c>
    </row>
    <row r="64" spans="2:13" x14ac:dyDescent="0.3">
      <c r="B64" s="11">
        <v>28054126958</v>
      </c>
      <c r="C64" t="s">
        <v>413</v>
      </c>
      <c r="D64" t="s">
        <v>6</v>
      </c>
      <c r="E64" t="s">
        <v>7</v>
      </c>
      <c r="F64" t="s">
        <v>427</v>
      </c>
      <c r="G64" t="s">
        <v>424</v>
      </c>
      <c r="H64" s="1">
        <v>29830</v>
      </c>
      <c r="I64" s="1" t="s">
        <v>434</v>
      </c>
      <c r="J64" t="s">
        <v>445</v>
      </c>
      <c r="K64" s="12">
        <v>35.9</v>
      </c>
      <c r="L64" s="14">
        <f ca="1">TRUNC((TODAY()-TabelaBase[[#This Row],[Data Nascimento]])/365)</f>
        <v>44</v>
      </c>
      <c r="M64" s="14" t="str">
        <f ca="1">HLOOKUP(TabelaBase[[#This Row],[Idade]],$O$3:$R$4,2,TRUE)</f>
        <v>44 - 54</v>
      </c>
    </row>
    <row r="65" spans="2:13" x14ac:dyDescent="0.3">
      <c r="B65" s="11">
        <v>28153849933</v>
      </c>
      <c r="C65" t="s">
        <v>242</v>
      </c>
      <c r="D65" t="s">
        <v>6</v>
      </c>
      <c r="E65" t="s">
        <v>8</v>
      </c>
      <c r="F65" t="s">
        <v>13</v>
      </c>
      <c r="G65" t="s">
        <v>424</v>
      </c>
      <c r="H65" s="1">
        <v>27315</v>
      </c>
      <c r="I65" s="1" t="s">
        <v>430</v>
      </c>
      <c r="J65" t="s">
        <v>447</v>
      </c>
      <c r="K65" s="12">
        <v>79.900000000000006</v>
      </c>
      <c r="L65" s="14">
        <f ca="1">TRUNC((TODAY()-TabelaBase[[#This Row],[Data Nascimento]])/365)</f>
        <v>51</v>
      </c>
      <c r="M65" s="14" t="str">
        <f ca="1">HLOOKUP(TabelaBase[[#This Row],[Idade]],$O$3:$R$4,2,TRUE)</f>
        <v>44 - 54</v>
      </c>
    </row>
    <row r="66" spans="2:13" x14ac:dyDescent="0.3">
      <c r="B66" s="11">
        <v>28166551614</v>
      </c>
      <c r="C66" t="s">
        <v>162</v>
      </c>
      <c r="D66" t="s">
        <v>5</v>
      </c>
      <c r="E66" t="s">
        <v>8</v>
      </c>
      <c r="F66" t="s">
        <v>11</v>
      </c>
      <c r="G66" t="s">
        <v>424</v>
      </c>
      <c r="H66" s="1">
        <v>30656</v>
      </c>
      <c r="I66" s="1" t="s">
        <v>435</v>
      </c>
      <c r="J66" t="s">
        <v>447</v>
      </c>
      <c r="K66" s="12">
        <v>79.900000000000006</v>
      </c>
      <c r="L66" s="14">
        <f ca="1">TRUNC((TODAY()-TabelaBase[[#This Row],[Data Nascimento]])/365)</f>
        <v>42</v>
      </c>
      <c r="M66" s="14" t="str">
        <f ca="1">HLOOKUP(TabelaBase[[#This Row],[Idade]],$O$3:$R$4,2,TRUE)</f>
        <v>35 - 44</v>
      </c>
    </row>
    <row r="67" spans="2:13" x14ac:dyDescent="0.3">
      <c r="B67" s="11">
        <v>28200818797</v>
      </c>
      <c r="C67" t="s">
        <v>231</v>
      </c>
      <c r="D67" t="s">
        <v>5</v>
      </c>
      <c r="E67" t="s">
        <v>417</v>
      </c>
      <c r="F67" t="s">
        <v>9</v>
      </c>
      <c r="G67" t="s">
        <v>424</v>
      </c>
      <c r="H67" s="1">
        <v>28922</v>
      </c>
      <c r="I67" s="1" t="s">
        <v>436</v>
      </c>
      <c r="J67" t="s">
        <v>444</v>
      </c>
      <c r="K67" s="12">
        <v>29.9</v>
      </c>
      <c r="L67" s="14">
        <f ca="1">TRUNC((TODAY()-TabelaBase[[#This Row],[Data Nascimento]])/365)</f>
        <v>46</v>
      </c>
      <c r="M67" s="14" t="str">
        <f ca="1">HLOOKUP(TabelaBase[[#This Row],[Idade]],$O$3:$R$4,2,TRUE)</f>
        <v>44 - 54</v>
      </c>
    </row>
    <row r="68" spans="2:13" x14ac:dyDescent="0.3">
      <c r="B68" s="11">
        <v>28435465592</v>
      </c>
      <c r="C68" t="s">
        <v>34</v>
      </c>
      <c r="D68" t="s">
        <v>5</v>
      </c>
      <c r="E68" t="s">
        <v>417</v>
      </c>
      <c r="F68" t="s">
        <v>14</v>
      </c>
      <c r="G68" t="s">
        <v>425</v>
      </c>
      <c r="H68" s="1">
        <v>34132</v>
      </c>
      <c r="I68" s="1" t="s">
        <v>430</v>
      </c>
      <c r="J68" t="s">
        <v>444</v>
      </c>
      <c r="K68" s="12">
        <v>29.9</v>
      </c>
      <c r="L68" s="14">
        <f ca="1">TRUNC((TODAY()-TabelaBase[[#This Row],[Data Nascimento]])/365)</f>
        <v>32</v>
      </c>
      <c r="M68" s="14" t="str">
        <f ca="1">HLOOKUP(TabelaBase[[#This Row],[Idade]],$O$3:$R$4,2,TRUE)</f>
        <v>24-34</v>
      </c>
    </row>
    <row r="69" spans="2:13" x14ac:dyDescent="0.3">
      <c r="B69" s="11">
        <v>28452088771</v>
      </c>
      <c r="C69" t="s">
        <v>261</v>
      </c>
      <c r="D69" t="s">
        <v>6</v>
      </c>
      <c r="E69" t="s">
        <v>417</v>
      </c>
      <c r="F69" t="s">
        <v>427</v>
      </c>
      <c r="G69" t="s">
        <v>425</v>
      </c>
      <c r="H69" s="1">
        <v>30501</v>
      </c>
      <c r="I69" s="1" t="s">
        <v>435</v>
      </c>
      <c r="J69" t="s">
        <v>446</v>
      </c>
      <c r="K69" s="12">
        <v>9.9</v>
      </c>
      <c r="L69" s="14">
        <f ca="1">TRUNC((TODAY()-TabelaBase[[#This Row],[Data Nascimento]])/365)</f>
        <v>42</v>
      </c>
      <c r="M69" s="14" t="str">
        <f ca="1">HLOOKUP(TabelaBase[[#This Row],[Idade]],$O$3:$R$4,2,TRUE)</f>
        <v>35 - 44</v>
      </c>
    </row>
    <row r="70" spans="2:13" x14ac:dyDescent="0.3">
      <c r="B70" s="11">
        <v>28472708104</v>
      </c>
      <c r="C70" t="s">
        <v>245</v>
      </c>
      <c r="D70" t="s">
        <v>5</v>
      </c>
      <c r="E70" t="s">
        <v>7</v>
      </c>
      <c r="F70" t="s">
        <v>427</v>
      </c>
      <c r="G70" t="s">
        <v>425</v>
      </c>
      <c r="H70" s="1">
        <v>29241</v>
      </c>
      <c r="I70" s="1" t="s">
        <v>436</v>
      </c>
      <c r="J70" t="s">
        <v>445</v>
      </c>
      <c r="K70" s="12">
        <v>35.9</v>
      </c>
      <c r="L70" s="14">
        <f ca="1">TRUNC((TODAY()-TabelaBase[[#This Row],[Data Nascimento]])/365)</f>
        <v>46</v>
      </c>
      <c r="M70" s="14" t="str">
        <f ca="1">HLOOKUP(TabelaBase[[#This Row],[Idade]],$O$3:$R$4,2,TRUE)</f>
        <v>44 - 54</v>
      </c>
    </row>
    <row r="71" spans="2:13" x14ac:dyDescent="0.3">
      <c r="B71" s="11">
        <v>28577291217</v>
      </c>
      <c r="C71" t="s">
        <v>224</v>
      </c>
      <c r="D71" t="s">
        <v>6</v>
      </c>
      <c r="E71" t="s">
        <v>417</v>
      </c>
      <c r="F71" t="s">
        <v>13</v>
      </c>
      <c r="G71" t="s">
        <v>425</v>
      </c>
      <c r="H71" s="1">
        <v>30423</v>
      </c>
      <c r="I71" s="1" t="s">
        <v>433</v>
      </c>
      <c r="J71" t="s">
        <v>444</v>
      </c>
      <c r="K71" s="12">
        <v>29.9</v>
      </c>
      <c r="L71" s="14">
        <f ca="1">TRUNC((TODAY()-TabelaBase[[#This Row],[Data Nascimento]])/365)</f>
        <v>42</v>
      </c>
      <c r="M71" s="14" t="str">
        <f ca="1">HLOOKUP(TabelaBase[[#This Row],[Idade]],$O$3:$R$4,2,TRUE)</f>
        <v>35 - 44</v>
      </c>
    </row>
    <row r="72" spans="2:13" x14ac:dyDescent="0.3">
      <c r="B72" s="11">
        <v>28722728237</v>
      </c>
      <c r="C72" t="s">
        <v>402</v>
      </c>
      <c r="D72" t="s">
        <v>5</v>
      </c>
      <c r="E72" t="s">
        <v>8</v>
      </c>
      <c r="F72" t="s">
        <v>11</v>
      </c>
      <c r="G72" t="s">
        <v>424</v>
      </c>
      <c r="H72" s="1">
        <v>32588</v>
      </c>
      <c r="I72" s="1" t="s">
        <v>433</v>
      </c>
      <c r="J72" t="s">
        <v>447</v>
      </c>
      <c r="K72" s="12">
        <v>79.900000000000006</v>
      </c>
      <c r="L72" s="14">
        <f ca="1">TRUNC((TODAY()-TabelaBase[[#This Row],[Data Nascimento]])/365)</f>
        <v>36</v>
      </c>
      <c r="M72" s="14" t="str">
        <f ca="1">HLOOKUP(TabelaBase[[#This Row],[Idade]],$O$3:$R$4,2,TRUE)</f>
        <v>35 - 44</v>
      </c>
    </row>
    <row r="73" spans="2:13" x14ac:dyDescent="0.3">
      <c r="B73" s="11">
        <v>28746452670</v>
      </c>
      <c r="C73" t="s">
        <v>122</v>
      </c>
      <c r="D73" t="s">
        <v>6</v>
      </c>
      <c r="E73" t="s">
        <v>8</v>
      </c>
      <c r="F73" t="s">
        <v>13</v>
      </c>
      <c r="G73" t="s">
        <v>424</v>
      </c>
      <c r="H73" s="1">
        <v>34194</v>
      </c>
      <c r="I73" s="1" t="s">
        <v>433</v>
      </c>
      <c r="J73" t="s">
        <v>447</v>
      </c>
      <c r="K73" s="12">
        <v>79.900000000000006</v>
      </c>
      <c r="L73" s="14">
        <f ca="1">TRUNC((TODAY()-TabelaBase[[#This Row],[Data Nascimento]])/365)</f>
        <v>32</v>
      </c>
      <c r="M73" s="14" t="str">
        <f ca="1">HLOOKUP(TabelaBase[[#This Row],[Idade]],$O$3:$R$4,2,TRUE)</f>
        <v>24-34</v>
      </c>
    </row>
    <row r="74" spans="2:13" x14ac:dyDescent="0.3">
      <c r="B74" s="11">
        <v>28755892068</v>
      </c>
      <c r="C74" t="s">
        <v>225</v>
      </c>
      <c r="D74" t="s">
        <v>5</v>
      </c>
      <c r="E74" t="s">
        <v>7</v>
      </c>
      <c r="F74" t="s">
        <v>427</v>
      </c>
      <c r="G74" t="s">
        <v>425</v>
      </c>
      <c r="H74" s="1">
        <v>21223</v>
      </c>
      <c r="I74" s="1" t="s">
        <v>433</v>
      </c>
      <c r="J74" t="s">
        <v>446</v>
      </c>
      <c r="K74" s="12">
        <v>9.9</v>
      </c>
      <c r="L74" s="14">
        <f ca="1">TRUNC((TODAY()-TabelaBase[[#This Row],[Data Nascimento]])/365)</f>
        <v>67</v>
      </c>
      <c r="M74" s="14" t="str">
        <f ca="1">HLOOKUP(TabelaBase[[#This Row],[Idade]],$O$3:$R$4,2,TRUE)</f>
        <v>54-70</v>
      </c>
    </row>
    <row r="75" spans="2:13" x14ac:dyDescent="0.3">
      <c r="B75" s="11">
        <v>28940705644</v>
      </c>
      <c r="C75" t="s">
        <v>61</v>
      </c>
      <c r="D75" t="s">
        <v>6</v>
      </c>
      <c r="E75" t="s">
        <v>417</v>
      </c>
      <c r="F75" t="s">
        <v>427</v>
      </c>
      <c r="G75" t="s">
        <v>425</v>
      </c>
      <c r="H75" s="1">
        <v>25527</v>
      </c>
      <c r="I75" s="1" t="s">
        <v>433</v>
      </c>
      <c r="J75" t="s">
        <v>445</v>
      </c>
      <c r="K75" s="12">
        <v>35.9</v>
      </c>
      <c r="L75" s="14">
        <f ca="1">TRUNC((TODAY()-TabelaBase[[#This Row],[Data Nascimento]])/365)</f>
        <v>56</v>
      </c>
      <c r="M75" s="14" t="str">
        <f ca="1">HLOOKUP(TabelaBase[[#This Row],[Idade]],$O$3:$R$4,2,TRUE)</f>
        <v>54-70</v>
      </c>
    </row>
    <row r="76" spans="2:13" x14ac:dyDescent="0.3">
      <c r="B76" s="11">
        <v>29031986542</v>
      </c>
      <c r="C76" t="s">
        <v>115</v>
      </c>
      <c r="D76" t="s">
        <v>5</v>
      </c>
      <c r="E76" t="s">
        <v>417</v>
      </c>
      <c r="F76" t="s">
        <v>12</v>
      </c>
      <c r="G76" t="s">
        <v>425</v>
      </c>
      <c r="H76" s="1">
        <v>21026</v>
      </c>
      <c r="I76" s="1" t="s">
        <v>433</v>
      </c>
      <c r="J76" t="s">
        <v>446</v>
      </c>
      <c r="K76" s="12">
        <v>9.9</v>
      </c>
      <c r="L76" s="14">
        <f ca="1">TRUNC((TODAY()-TabelaBase[[#This Row],[Data Nascimento]])/365)</f>
        <v>68</v>
      </c>
      <c r="M76" s="14" t="str">
        <f ca="1">HLOOKUP(TabelaBase[[#This Row],[Idade]],$O$3:$R$4,2,TRUE)</f>
        <v>54-70</v>
      </c>
    </row>
    <row r="77" spans="2:13" x14ac:dyDescent="0.3">
      <c r="B77" s="11">
        <v>29058531849</v>
      </c>
      <c r="C77" t="s">
        <v>269</v>
      </c>
      <c r="D77" t="s">
        <v>6</v>
      </c>
      <c r="E77" t="s">
        <v>8</v>
      </c>
      <c r="F77" t="s">
        <v>427</v>
      </c>
      <c r="G77" t="s">
        <v>426</v>
      </c>
      <c r="H77" s="1">
        <v>23599</v>
      </c>
      <c r="I77" s="1" t="s">
        <v>433</v>
      </c>
      <c r="J77" t="s">
        <v>445</v>
      </c>
      <c r="K77" s="12">
        <v>35.9</v>
      </c>
      <c r="L77" s="14">
        <f ca="1">TRUNC((TODAY()-TabelaBase[[#This Row],[Data Nascimento]])/365)</f>
        <v>61</v>
      </c>
      <c r="M77" s="14" t="str">
        <f ca="1">HLOOKUP(TabelaBase[[#This Row],[Idade]],$O$3:$R$4,2,TRUE)</f>
        <v>54-70</v>
      </c>
    </row>
    <row r="78" spans="2:13" x14ac:dyDescent="0.3">
      <c r="B78" s="11">
        <v>29062765488</v>
      </c>
      <c r="C78" t="s">
        <v>193</v>
      </c>
      <c r="D78" t="s">
        <v>5</v>
      </c>
      <c r="E78" t="s">
        <v>7</v>
      </c>
      <c r="F78" t="s">
        <v>12</v>
      </c>
      <c r="G78" t="s">
        <v>424</v>
      </c>
      <c r="H78" s="1">
        <v>21028</v>
      </c>
      <c r="I78" s="1" t="s">
        <v>433</v>
      </c>
      <c r="J78" t="s">
        <v>445</v>
      </c>
      <c r="K78" s="12">
        <v>35.9</v>
      </c>
      <c r="L78" s="14">
        <f ca="1">TRUNC((TODAY()-TabelaBase[[#This Row],[Data Nascimento]])/365)</f>
        <v>68</v>
      </c>
      <c r="M78" s="14" t="str">
        <f ca="1">HLOOKUP(TabelaBase[[#This Row],[Idade]],$O$3:$R$4,2,TRUE)</f>
        <v>54-70</v>
      </c>
    </row>
    <row r="79" spans="2:13" x14ac:dyDescent="0.3">
      <c r="B79" s="11">
        <v>29127263778</v>
      </c>
      <c r="C79" t="s">
        <v>97</v>
      </c>
      <c r="D79" t="s">
        <v>6</v>
      </c>
      <c r="E79" t="s">
        <v>7</v>
      </c>
      <c r="F79" t="s">
        <v>12</v>
      </c>
      <c r="G79" t="s">
        <v>425</v>
      </c>
      <c r="H79" s="1">
        <v>29244</v>
      </c>
      <c r="I79" s="1" t="s">
        <v>433</v>
      </c>
      <c r="J79" t="s">
        <v>445</v>
      </c>
      <c r="K79" s="12">
        <v>35.9</v>
      </c>
      <c r="L79" s="14">
        <f ca="1">TRUNC((TODAY()-TabelaBase[[#This Row],[Data Nascimento]])/365)</f>
        <v>46</v>
      </c>
      <c r="M79" s="14" t="str">
        <f ca="1">HLOOKUP(TabelaBase[[#This Row],[Idade]],$O$3:$R$4,2,TRUE)</f>
        <v>44 - 54</v>
      </c>
    </row>
    <row r="80" spans="2:13" x14ac:dyDescent="0.3">
      <c r="B80" s="11">
        <v>29151032854</v>
      </c>
      <c r="C80" t="s">
        <v>140</v>
      </c>
      <c r="D80" t="s">
        <v>6</v>
      </c>
      <c r="E80" t="s">
        <v>7</v>
      </c>
      <c r="F80" t="s">
        <v>13</v>
      </c>
      <c r="G80" t="s">
        <v>425</v>
      </c>
      <c r="H80" s="1">
        <v>23279</v>
      </c>
      <c r="I80" s="1" t="s">
        <v>429</v>
      </c>
      <c r="J80" t="s">
        <v>446</v>
      </c>
      <c r="K80" s="12">
        <v>9.9</v>
      </c>
      <c r="L80" s="14">
        <f ca="1">TRUNC((TODAY()-TabelaBase[[#This Row],[Data Nascimento]])/365)</f>
        <v>62</v>
      </c>
      <c r="M80" s="14" t="str">
        <f ca="1">HLOOKUP(TabelaBase[[#This Row],[Idade]],$O$3:$R$4,2,TRUE)</f>
        <v>54-70</v>
      </c>
    </row>
    <row r="81" spans="2:13" x14ac:dyDescent="0.3">
      <c r="B81" s="11">
        <v>29200736829</v>
      </c>
      <c r="C81" t="s">
        <v>39</v>
      </c>
      <c r="D81" t="s">
        <v>6</v>
      </c>
      <c r="E81" t="s">
        <v>8</v>
      </c>
      <c r="F81" t="s">
        <v>9</v>
      </c>
      <c r="G81" t="s">
        <v>425</v>
      </c>
      <c r="H81" s="1">
        <v>24628</v>
      </c>
      <c r="I81" s="1" t="s">
        <v>432</v>
      </c>
      <c r="J81" t="s">
        <v>444</v>
      </c>
      <c r="K81" s="12">
        <v>29.9</v>
      </c>
      <c r="L81" s="14">
        <f ca="1">TRUNC((TODAY()-TabelaBase[[#This Row],[Data Nascimento]])/365)</f>
        <v>58</v>
      </c>
      <c r="M81" s="14" t="str">
        <f ca="1">HLOOKUP(TabelaBase[[#This Row],[Idade]],$O$3:$R$4,2,TRUE)</f>
        <v>54-70</v>
      </c>
    </row>
    <row r="82" spans="2:13" x14ac:dyDescent="0.3">
      <c r="B82" s="11">
        <v>29210849513</v>
      </c>
      <c r="C82" t="s">
        <v>389</v>
      </c>
      <c r="D82" t="s">
        <v>6</v>
      </c>
      <c r="E82" t="s">
        <v>8</v>
      </c>
      <c r="F82" t="s">
        <v>427</v>
      </c>
      <c r="G82" t="s">
        <v>426</v>
      </c>
      <c r="H82" s="1">
        <v>22704</v>
      </c>
      <c r="I82" s="1" t="s">
        <v>436</v>
      </c>
      <c r="J82" t="s">
        <v>445</v>
      </c>
      <c r="K82" s="12">
        <v>35.9</v>
      </c>
      <c r="L82" s="14">
        <f ca="1">TRUNC((TODAY()-TabelaBase[[#This Row],[Data Nascimento]])/365)</f>
        <v>63</v>
      </c>
      <c r="M82" s="14" t="str">
        <f ca="1">HLOOKUP(TabelaBase[[#This Row],[Idade]],$O$3:$R$4,2,TRUE)</f>
        <v>54-70</v>
      </c>
    </row>
    <row r="83" spans="2:13" x14ac:dyDescent="0.3">
      <c r="B83" s="11">
        <v>29324777441</v>
      </c>
      <c r="C83" t="s">
        <v>153</v>
      </c>
      <c r="D83" t="s">
        <v>6</v>
      </c>
      <c r="E83" t="s">
        <v>7</v>
      </c>
      <c r="F83" t="s">
        <v>427</v>
      </c>
      <c r="G83" t="s">
        <v>424</v>
      </c>
      <c r="H83" s="1">
        <v>25012</v>
      </c>
      <c r="I83" s="1" t="s">
        <v>436</v>
      </c>
      <c r="J83" t="s">
        <v>446</v>
      </c>
      <c r="K83" s="12">
        <v>9.9</v>
      </c>
      <c r="L83" s="14">
        <f ca="1">TRUNC((TODAY()-TabelaBase[[#This Row],[Data Nascimento]])/365)</f>
        <v>57</v>
      </c>
      <c r="M83" s="14" t="str">
        <f ca="1">HLOOKUP(TabelaBase[[#This Row],[Idade]],$O$3:$R$4,2,TRUE)</f>
        <v>54-70</v>
      </c>
    </row>
    <row r="84" spans="2:13" x14ac:dyDescent="0.3">
      <c r="B84" s="11">
        <v>29416954094</v>
      </c>
      <c r="C84" t="s">
        <v>314</v>
      </c>
      <c r="D84" t="s">
        <v>6</v>
      </c>
      <c r="E84" t="s">
        <v>417</v>
      </c>
      <c r="F84" t="s">
        <v>13</v>
      </c>
      <c r="G84" t="s">
        <v>425</v>
      </c>
      <c r="H84" s="1">
        <v>29871</v>
      </c>
      <c r="I84" s="1" t="s">
        <v>436</v>
      </c>
      <c r="J84" t="s">
        <v>447</v>
      </c>
      <c r="K84" s="12">
        <v>79.900000000000006</v>
      </c>
      <c r="L84" s="14">
        <f ca="1">TRUNC((TODAY()-TabelaBase[[#This Row],[Data Nascimento]])/365)</f>
        <v>44</v>
      </c>
      <c r="M84" s="14" t="str">
        <f ca="1">HLOOKUP(TabelaBase[[#This Row],[Idade]],$O$3:$R$4,2,TRUE)</f>
        <v>44 - 54</v>
      </c>
    </row>
    <row r="85" spans="2:13" x14ac:dyDescent="0.3">
      <c r="B85" s="11">
        <v>29550625936</v>
      </c>
      <c r="C85" t="s">
        <v>275</v>
      </c>
      <c r="D85" t="s">
        <v>5</v>
      </c>
      <c r="E85" t="s">
        <v>417</v>
      </c>
      <c r="F85" t="s">
        <v>13</v>
      </c>
      <c r="G85" t="s">
        <v>425</v>
      </c>
      <c r="H85" s="1">
        <v>29155</v>
      </c>
      <c r="I85" s="1" t="s">
        <v>436</v>
      </c>
      <c r="J85" t="s">
        <v>444</v>
      </c>
      <c r="K85" s="12">
        <v>29.9</v>
      </c>
      <c r="L85" s="14">
        <f ca="1">TRUNC((TODAY()-TabelaBase[[#This Row],[Data Nascimento]])/365)</f>
        <v>46</v>
      </c>
      <c r="M85" s="14" t="str">
        <f ca="1">HLOOKUP(TabelaBase[[#This Row],[Idade]],$O$3:$R$4,2,TRUE)</f>
        <v>44 - 54</v>
      </c>
    </row>
    <row r="86" spans="2:13" x14ac:dyDescent="0.3">
      <c r="B86" s="11">
        <v>29608724794</v>
      </c>
      <c r="C86" t="s">
        <v>21</v>
      </c>
      <c r="D86" t="s">
        <v>6</v>
      </c>
      <c r="E86" t="s">
        <v>417</v>
      </c>
      <c r="F86" t="s">
        <v>427</v>
      </c>
      <c r="G86" t="s">
        <v>425</v>
      </c>
      <c r="H86" s="1">
        <v>30032</v>
      </c>
      <c r="I86" s="1" t="s">
        <v>436</v>
      </c>
      <c r="J86" t="s">
        <v>446</v>
      </c>
      <c r="K86" s="12">
        <v>9.9</v>
      </c>
      <c r="L86" s="14">
        <f ca="1">TRUNC((TODAY()-TabelaBase[[#This Row],[Data Nascimento]])/365)</f>
        <v>43</v>
      </c>
      <c r="M86" s="14" t="str">
        <f ca="1">HLOOKUP(TabelaBase[[#This Row],[Idade]],$O$3:$R$4,2,TRUE)</f>
        <v>35 - 44</v>
      </c>
    </row>
    <row r="87" spans="2:13" x14ac:dyDescent="0.3">
      <c r="B87" s="11">
        <v>29617727732</v>
      </c>
      <c r="C87" t="s">
        <v>70</v>
      </c>
      <c r="D87" t="s">
        <v>5</v>
      </c>
      <c r="E87" t="s">
        <v>7</v>
      </c>
      <c r="F87" t="s">
        <v>427</v>
      </c>
      <c r="G87" t="s">
        <v>426</v>
      </c>
      <c r="H87" s="1">
        <v>32031</v>
      </c>
      <c r="I87" s="1" t="s">
        <v>436</v>
      </c>
      <c r="J87" t="s">
        <v>444</v>
      </c>
      <c r="K87" s="12">
        <v>29.9</v>
      </c>
      <c r="L87" s="14">
        <f ca="1">TRUNC((TODAY()-TabelaBase[[#This Row],[Data Nascimento]])/365)</f>
        <v>38</v>
      </c>
      <c r="M87" s="14" t="str">
        <f ca="1">HLOOKUP(TabelaBase[[#This Row],[Idade]],$O$3:$R$4,2,TRUE)</f>
        <v>35 - 44</v>
      </c>
    </row>
    <row r="88" spans="2:13" x14ac:dyDescent="0.3">
      <c r="B88" s="11">
        <v>29665927499</v>
      </c>
      <c r="C88" t="s">
        <v>52</v>
      </c>
      <c r="D88" t="s">
        <v>5</v>
      </c>
      <c r="E88" t="s">
        <v>8</v>
      </c>
      <c r="F88" t="s">
        <v>14</v>
      </c>
      <c r="G88" t="s">
        <v>425</v>
      </c>
      <c r="H88" s="1">
        <v>25872</v>
      </c>
      <c r="I88" s="1" t="s">
        <v>435</v>
      </c>
      <c r="J88" t="s">
        <v>444</v>
      </c>
      <c r="K88" s="12">
        <v>29.9</v>
      </c>
      <c r="L88" s="14">
        <f ca="1">TRUNC((TODAY()-TabelaBase[[#This Row],[Data Nascimento]])/365)</f>
        <v>55</v>
      </c>
      <c r="M88" s="14" t="str">
        <f ca="1">HLOOKUP(TabelaBase[[#This Row],[Idade]],$O$3:$R$4,2,TRUE)</f>
        <v>54-70</v>
      </c>
    </row>
    <row r="89" spans="2:13" x14ac:dyDescent="0.3">
      <c r="B89" s="11">
        <v>29773455762</v>
      </c>
      <c r="C89" t="s">
        <v>256</v>
      </c>
      <c r="D89" t="s">
        <v>6</v>
      </c>
      <c r="E89" t="s">
        <v>7</v>
      </c>
      <c r="F89" t="s">
        <v>14</v>
      </c>
      <c r="G89" t="s">
        <v>426</v>
      </c>
      <c r="H89" s="1">
        <v>30083</v>
      </c>
      <c r="I89" s="1" t="s">
        <v>433</v>
      </c>
      <c r="J89" t="s">
        <v>444</v>
      </c>
      <c r="K89" s="12">
        <v>29.9</v>
      </c>
      <c r="L89" s="14">
        <f ca="1">TRUNC((TODAY()-TabelaBase[[#This Row],[Data Nascimento]])/365)</f>
        <v>43</v>
      </c>
      <c r="M89" s="14" t="str">
        <f ca="1">HLOOKUP(TabelaBase[[#This Row],[Idade]],$O$3:$R$4,2,TRUE)</f>
        <v>35 - 44</v>
      </c>
    </row>
    <row r="90" spans="2:13" x14ac:dyDescent="0.3">
      <c r="B90" s="11">
        <v>29806175798</v>
      </c>
      <c r="C90" t="s">
        <v>74</v>
      </c>
      <c r="D90" t="s">
        <v>5</v>
      </c>
      <c r="E90" t="s">
        <v>417</v>
      </c>
      <c r="F90" t="s">
        <v>13</v>
      </c>
      <c r="G90" t="s">
        <v>425</v>
      </c>
      <c r="H90" s="1">
        <v>27096</v>
      </c>
      <c r="I90" s="1" t="s">
        <v>433</v>
      </c>
      <c r="J90" t="s">
        <v>447</v>
      </c>
      <c r="K90" s="12">
        <v>79.900000000000006</v>
      </c>
      <c r="L90" s="14">
        <f ca="1">TRUNC((TODAY()-TabelaBase[[#This Row],[Data Nascimento]])/365)</f>
        <v>51</v>
      </c>
      <c r="M90" s="14" t="str">
        <f ca="1">HLOOKUP(TabelaBase[[#This Row],[Idade]],$O$3:$R$4,2,TRUE)</f>
        <v>44 - 54</v>
      </c>
    </row>
    <row r="91" spans="2:13" x14ac:dyDescent="0.3">
      <c r="B91" s="11">
        <v>29958942950</v>
      </c>
      <c r="C91" t="s">
        <v>297</v>
      </c>
      <c r="D91" t="s">
        <v>5</v>
      </c>
      <c r="E91" t="s">
        <v>7</v>
      </c>
      <c r="F91" t="s">
        <v>427</v>
      </c>
      <c r="G91" t="s">
        <v>425</v>
      </c>
      <c r="H91" s="1">
        <v>31436</v>
      </c>
      <c r="I91" s="1" t="s">
        <v>433</v>
      </c>
      <c r="J91" t="s">
        <v>446</v>
      </c>
      <c r="K91" s="12">
        <v>9.9</v>
      </c>
      <c r="L91" s="14">
        <f ca="1">TRUNC((TODAY()-TabelaBase[[#This Row],[Data Nascimento]])/365)</f>
        <v>39</v>
      </c>
      <c r="M91" s="14" t="str">
        <f ca="1">HLOOKUP(TabelaBase[[#This Row],[Idade]],$O$3:$R$4,2,TRUE)</f>
        <v>35 - 44</v>
      </c>
    </row>
    <row r="92" spans="2:13" x14ac:dyDescent="0.3">
      <c r="B92" s="11">
        <v>29997693161</v>
      </c>
      <c r="C92" t="s">
        <v>93</v>
      </c>
      <c r="D92" t="s">
        <v>6</v>
      </c>
      <c r="E92" t="s">
        <v>7</v>
      </c>
      <c r="F92" t="s">
        <v>427</v>
      </c>
      <c r="G92" t="s">
        <v>424</v>
      </c>
      <c r="H92" s="1">
        <v>28778</v>
      </c>
      <c r="I92" s="1" t="s">
        <v>433</v>
      </c>
      <c r="J92" t="s">
        <v>446</v>
      </c>
      <c r="K92" s="12">
        <v>9.9</v>
      </c>
      <c r="L92" s="14">
        <f ca="1">TRUNC((TODAY()-TabelaBase[[#This Row],[Data Nascimento]])/365)</f>
        <v>47</v>
      </c>
      <c r="M92" s="14" t="str">
        <f ca="1">HLOOKUP(TabelaBase[[#This Row],[Idade]],$O$3:$R$4,2,TRUE)</f>
        <v>44 - 54</v>
      </c>
    </row>
    <row r="93" spans="2:13" x14ac:dyDescent="0.3">
      <c r="B93" s="11">
        <v>30056943664</v>
      </c>
      <c r="C93" t="s">
        <v>397</v>
      </c>
      <c r="D93" t="s">
        <v>6</v>
      </c>
      <c r="E93" t="s">
        <v>7</v>
      </c>
      <c r="F93" t="s">
        <v>427</v>
      </c>
      <c r="G93" t="s">
        <v>425</v>
      </c>
      <c r="H93" s="1">
        <v>21281</v>
      </c>
      <c r="I93" s="1" t="s">
        <v>433</v>
      </c>
      <c r="J93" t="s">
        <v>445</v>
      </c>
      <c r="K93" s="12">
        <v>35.9</v>
      </c>
      <c r="L93" s="14">
        <f ca="1">TRUNC((TODAY()-TabelaBase[[#This Row],[Data Nascimento]])/365)</f>
        <v>67</v>
      </c>
      <c r="M93" s="14" t="str">
        <f ca="1">HLOOKUP(TabelaBase[[#This Row],[Idade]],$O$3:$R$4,2,TRUE)</f>
        <v>54-70</v>
      </c>
    </row>
    <row r="94" spans="2:13" x14ac:dyDescent="0.3">
      <c r="B94" s="11">
        <v>30135605541</v>
      </c>
      <c r="C94" t="s">
        <v>226</v>
      </c>
      <c r="D94" t="s">
        <v>5</v>
      </c>
      <c r="E94" t="s">
        <v>417</v>
      </c>
      <c r="F94" t="s">
        <v>14</v>
      </c>
      <c r="G94" t="s">
        <v>425</v>
      </c>
      <c r="H94" s="1">
        <v>21928</v>
      </c>
      <c r="I94" s="1" t="s">
        <v>430</v>
      </c>
      <c r="J94" t="s">
        <v>444</v>
      </c>
      <c r="K94" s="12">
        <v>29.9</v>
      </c>
      <c r="L94" s="14">
        <f ca="1">TRUNC((TODAY()-TabelaBase[[#This Row],[Data Nascimento]])/365)</f>
        <v>66</v>
      </c>
      <c r="M94" s="14" t="str">
        <f ca="1">HLOOKUP(TabelaBase[[#This Row],[Idade]],$O$3:$R$4,2,TRUE)</f>
        <v>54-70</v>
      </c>
    </row>
    <row r="95" spans="2:13" x14ac:dyDescent="0.3">
      <c r="B95" s="11">
        <v>30221046505</v>
      </c>
      <c r="C95" t="s">
        <v>192</v>
      </c>
      <c r="D95" t="s">
        <v>5</v>
      </c>
      <c r="E95" t="s">
        <v>8</v>
      </c>
      <c r="F95" t="s">
        <v>13</v>
      </c>
      <c r="G95" t="s">
        <v>425</v>
      </c>
      <c r="H95" s="1">
        <v>30864</v>
      </c>
      <c r="I95" s="1" t="s">
        <v>429</v>
      </c>
      <c r="J95" t="s">
        <v>445</v>
      </c>
      <c r="K95" s="12">
        <v>35.9</v>
      </c>
      <c r="L95" s="14">
        <f ca="1">TRUNC((TODAY()-TabelaBase[[#This Row],[Data Nascimento]])/365)</f>
        <v>41</v>
      </c>
      <c r="M95" s="14" t="str">
        <f ca="1">HLOOKUP(TabelaBase[[#This Row],[Idade]],$O$3:$R$4,2,TRUE)</f>
        <v>35 - 44</v>
      </c>
    </row>
    <row r="96" spans="2:13" x14ac:dyDescent="0.3">
      <c r="B96" s="11">
        <v>30253040173</v>
      </c>
      <c r="C96" t="s">
        <v>317</v>
      </c>
      <c r="D96" t="s">
        <v>5</v>
      </c>
      <c r="E96" t="s">
        <v>7</v>
      </c>
      <c r="F96" t="s">
        <v>427</v>
      </c>
      <c r="G96" t="s">
        <v>425</v>
      </c>
      <c r="H96" s="1">
        <v>26406</v>
      </c>
      <c r="I96" s="1" t="s">
        <v>431</v>
      </c>
      <c r="J96" t="s">
        <v>445</v>
      </c>
      <c r="K96" s="12">
        <v>35.9</v>
      </c>
      <c r="L96" s="14">
        <f ca="1">TRUNC((TODAY()-TabelaBase[[#This Row],[Data Nascimento]])/365)</f>
        <v>53</v>
      </c>
      <c r="M96" s="14" t="str">
        <f ca="1">HLOOKUP(TabelaBase[[#This Row],[Idade]],$O$3:$R$4,2,TRUE)</f>
        <v>44 - 54</v>
      </c>
    </row>
    <row r="97" spans="2:13" x14ac:dyDescent="0.3">
      <c r="B97" s="11">
        <v>30314403216</v>
      </c>
      <c r="C97" t="s">
        <v>207</v>
      </c>
      <c r="D97" t="s">
        <v>6</v>
      </c>
      <c r="E97" t="s">
        <v>7</v>
      </c>
      <c r="F97" t="s">
        <v>9</v>
      </c>
      <c r="G97" t="s">
        <v>425</v>
      </c>
      <c r="H97" s="1">
        <v>33624</v>
      </c>
      <c r="I97" s="1" t="s">
        <v>432</v>
      </c>
      <c r="J97" t="s">
        <v>446</v>
      </c>
      <c r="K97" s="12">
        <v>9.9</v>
      </c>
      <c r="L97" s="14">
        <f ca="1">TRUNC((TODAY()-TabelaBase[[#This Row],[Data Nascimento]])/365)</f>
        <v>34</v>
      </c>
      <c r="M97" s="14" t="str">
        <f ca="1">HLOOKUP(TabelaBase[[#This Row],[Idade]],$O$3:$R$4,2,TRUE)</f>
        <v>24-34</v>
      </c>
    </row>
    <row r="98" spans="2:13" x14ac:dyDescent="0.3">
      <c r="B98" s="11">
        <v>30353673725</v>
      </c>
      <c r="C98" t="s">
        <v>306</v>
      </c>
      <c r="D98" t="s">
        <v>6</v>
      </c>
      <c r="E98" t="s">
        <v>417</v>
      </c>
      <c r="F98" t="s">
        <v>11</v>
      </c>
      <c r="G98" t="s">
        <v>426</v>
      </c>
      <c r="H98" s="1">
        <v>34963</v>
      </c>
      <c r="I98" s="1" t="s">
        <v>434</v>
      </c>
      <c r="J98" t="s">
        <v>447</v>
      </c>
      <c r="K98" s="12">
        <v>79.900000000000006</v>
      </c>
      <c r="L98" s="14">
        <f ca="1">TRUNC((TODAY()-TabelaBase[[#This Row],[Data Nascimento]])/365)</f>
        <v>30</v>
      </c>
      <c r="M98" s="14" t="str">
        <f ca="1">HLOOKUP(TabelaBase[[#This Row],[Idade]],$O$3:$R$4,2,TRUE)</f>
        <v>24-34</v>
      </c>
    </row>
    <row r="99" spans="2:13" x14ac:dyDescent="0.3">
      <c r="B99" s="11">
        <v>30383272945</v>
      </c>
      <c r="C99" t="s">
        <v>268</v>
      </c>
      <c r="D99" t="s">
        <v>6</v>
      </c>
      <c r="E99" t="s">
        <v>416</v>
      </c>
      <c r="F99" t="s">
        <v>14</v>
      </c>
      <c r="G99" t="s">
        <v>425</v>
      </c>
      <c r="H99" s="1">
        <v>34514</v>
      </c>
      <c r="I99" s="1" t="s">
        <v>430</v>
      </c>
      <c r="J99" t="s">
        <v>444</v>
      </c>
      <c r="K99" s="12">
        <v>29.9</v>
      </c>
      <c r="L99" s="14">
        <f ca="1">TRUNC((TODAY()-TabelaBase[[#This Row],[Data Nascimento]])/365)</f>
        <v>31</v>
      </c>
      <c r="M99" s="14" t="str">
        <f ca="1">HLOOKUP(TabelaBase[[#This Row],[Idade]],$O$3:$R$4,2,TRUE)</f>
        <v>24-34</v>
      </c>
    </row>
    <row r="100" spans="2:13" x14ac:dyDescent="0.3">
      <c r="B100" s="11">
        <v>30421203942</v>
      </c>
      <c r="C100" t="s">
        <v>145</v>
      </c>
      <c r="D100" t="s">
        <v>6</v>
      </c>
      <c r="E100" t="s">
        <v>7</v>
      </c>
      <c r="F100" t="s">
        <v>12</v>
      </c>
      <c r="G100" t="s">
        <v>425</v>
      </c>
      <c r="H100" s="1">
        <v>28977</v>
      </c>
      <c r="I100" s="1" t="s">
        <v>435</v>
      </c>
      <c r="J100" t="s">
        <v>445</v>
      </c>
      <c r="K100" s="12">
        <v>35.9</v>
      </c>
      <c r="L100" s="14">
        <f ca="1">TRUNC((TODAY()-TabelaBase[[#This Row],[Data Nascimento]])/365)</f>
        <v>46</v>
      </c>
      <c r="M100" s="14" t="str">
        <f ca="1">HLOOKUP(TabelaBase[[#This Row],[Idade]],$O$3:$R$4,2,TRUE)</f>
        <v>44 - 54</v>
      </c>
    </row>
    <row r="101" spans="2:13" x14ac:dyDescent="0.3">
      <c r="B101" s="11">
        <v>30468143545</v>
      </c>
      <c r="C101" t="s">
        <v>138</v>
      </c>
      <c r="D101" t="s">
        <v>6</v>
      </c>
      <c r="E101" t="s">
        <v>417</v>
      </c>
      <c r="F101" t="s">
        <v>11</v>
      </c>
      <c r="G101" t="s">
        <v>426</v>
      </c>
      <c r="H101" s="1">
        <v>31211</v>
      </c>
      <c r="I101" s="1" t="s">
        <v>436</v>
      </c>
      <c r="J101" t="s">
        <v>447</v>
      </c>
      <c r="K101" s="12">
        <v>79.900000000000006</v>
      </c>
      <c r="L101" s="14">
        <f ca="1">TRUNC((TODAY()-TabelaBase[[#This Row],[Data Nascimento]])/365)</f>
        <v>40</v>
      </c>
      <c r="M101" s="14" t="str">
        <f ca="1">HLOOKUP(TabelaBase[[#This Row],[Idade]],$O$3:$R$4,2,TRUE)</f>
        <v>35 - 44</v>
      </c>
    </row>
    <row r="102" spans="2:13" x14ac:dyDescent="0.3">
      <c r="B102" s="11">
        <v>30493961253</v>
      </c>
      <c r="C102" t="s">
        <v>211</v>
      </c>
      <c r="D102" t="s">
        <v>6</v>
      </c>
      <c r="E102" t="s">
        <v>416</v>
      </c>
      <c r="F102" t="s">
        <v>12</v>
      </c>
      <c r="G102" t="s">
        <v>424</v>
      </c>
      <c r="H102" s="1">
        <v>27501</v>
      </c>
      <c r="I102" s="1" t="s">
        <v>430</v>
      </c>
      <c r="J102" t="s">
        <v>446</v>
      </c>
      <c r="K102" s="12">
        <v>9.9</v>
      </c>
      <c r="L102" s="14">
        <f ca="1">TRUNC((TODAY()-TabelaBase[[#This Row],[Data Nascimento]])/365)</f>
        <v>50</v>
      </c>
      <c r="M102" s="14" t="str">
        <f ca="1">HLOOKUP(TabelaBase[[#This Row],[Idade]],$O$3:$R$4,2,TRUE)</f>
        <v>44 - 54</v>
      </c>
    </row>
    <row r="103" spans="2:13" x14ac:dyDescent="0.3">
      <c r="B103" s="11">
        <v>30557538193</v>
      </c>
      <c r="C103" t="s">
        <v>377</v>
      </c>
      <c r="D103" t="s">
        <v>6</v>
      </c>
      <c r="E103" t="s">
        <v>7</v>
      </c>
      <c r="F103" t="s">
        <v>427</v>
      </c>
      <c r="G103" t="s">
        <v>425</v>
      </c>
      <c r="H103" s="1">
        <v>25529</v>
      </c>
      <c r="I103" s="1" t="s">
        <v>435</v>
      </c>
      <c r="J103" t="s">
        <v>445</v>
      </c>
      <c r="K103" s="12">
        <v>35.9</v>
      </c>
      <c r="L103" s="14">
        <f ca="1">TRUNC((TODAY()-TabelaBase[[#This Row],[Data Nascimento]])/365)</f>
        <v>56</v>
      </c>
      <c r="M103" s="14" t="str">
        <f ca="1">HLOOKUP(TabelaBase[[#This Row],[Idade]],$O$3:$R$4,2,TRUE)</f>
        <v>54-70</v>
      </c>
    </row>
    <row r="104" spans="2:13" x14ac:dyDescent="0.3">
      <c r="B104" s="11">
        <v>30571772130</v>
      </c>
      <c r="C104" t="s">
        <v>151</v>
      </c>
      <c r="D104" t="s">
        <v>6</v>
      </c>
      <c r="E104" t="s">
        <v>417</v>
      </c>
      <c r="F104" t="s">
        <v>12</v>
      </c>
      <c r="G104" t="s">
        <v>424</v>
      </c>
      <c r="H104" s="1">
        <v>34891</v>
      </c>
      <c r="I104" s="1" t="s">
        <v>436</v>
      </c>
      <c r="J104" t="s">
        <v>447</v>
      </c>
      <c r="K104" s="12">
        <v>79.900000000000006</v>
      </c>
      <c r="L104" s="14">
        <f ca="1">TRUNC((TODAY()-TabelaBase[[#This Row],[Data Nascimento]])/365)</f>
        <v>30</v>
      </c>
      <c r="M104" s="14" t="str">
        <f ca="1">HLOOKUP(TabelaBase[[#This Row],[Idade]],$O$3:$R$4,2,TRUE)</f>
        <v>24-34</v>
      </c>
    </row>
    <row r="105" spans="2:13" x14ac:dyDescent="0.3">
      <c r="B105" s="11">
        <v>30735636076</v>
      </c>
      <c r="C105" t="s">
        <v>128</v>
      </c>
      <c r="D105" t="s">
        <v>6</v>
      </c>
      <c r="E105" t="s">
        <v>416</v>
      </c>
      <c r="F105" t="s">
        <v>13</v>
      </c>
      <c r="G105" t="s">
        <v>425</v>
      </c>
      <c r="H105" s="1">
        <v>31361</v>
      </c>
      <c r="I105" s="1" t="s">
        <v>433</v>
      </c>
      <c r="J105" t="s">
        <v>444</v>
      </c>
      <c r="K105" s="12">
        <v>29.9</v>
      </c>
      <c r="L105" s="14">
        <f ca="1">TRUNC((TODAY()-TabelaBase[[#This Row],[Data Nascimento]])/365)</f>
        <v>40</v>
      </c>
      <c r="M105" s="14" t="str">
        <f ca="1">HLOOKUP(TabelaBase[[#This Row],[Idade]],$O$3:$R$4,2,TRUE)</f>
        <v>35 - 44</v>
      </c>
    </row>
    <row r="106" spans="2:13" x14ac:dyDescent="0.3">
      <c r="B106" s="11">
        <v>30763734385</v>
      </c>
      <c r="C106" t="s">
        <v>98</v>
      </c>
      <c r="D106" t="s">
        <v>6</v>
      </c>
      <c r="E106" t="s">
        <v>417</v>
      </c>
      <c r="F106" t="s">
        <v>13</v>
      </c>
      <c r="G106" t="s">
        <v>426</v>
      </c>
      <c r="H106" s="1">
        <v>29882</v>
      </c>
      <c r="I106" s="1" t="s">
        <v>433</v>
      </c>
      <c r="J106" t="s">
        <v>447</v>
      </c>
      <c r="K106" s="12">
        <v>79.900000000000006</v>
      </c>
      <c r="L106" s="14">
        <f ca="1">TRUNC((TODAY()-TabelaBase[[#This Row],[Data Nascimento]])/365)</f>
        <v>44</v>
      </c>
      <c r="M106" s="14" t="str">
        <f ca="1">HLOOKUP(TabelaBase[[#This Row],[Idade]],$O$3:$R$4,2,TRUE)</f>
        <v>44 - 54</v>
      </c>
    </row>
    <row r="107" spans="2:13" x14ac:dyDescent="0.3">
      <c r="B107" s="11">
        <v>30850039240</v>
      </c>
      <c r="C107" t="s">
        <v>372</v>
      </c>
      <c r="D107" t="s">
        <v>5</v>
      </c>
      <c r="E107" t="s">
        <v>8</v>
      </c>
      <c r="F107" t="s">
        <v>13</v>
      </c>
      <c r="G107" t="s">
        <v>425</v>
      </c>
      <c r="H107" s="1">
        <v>33929</v>
      </c>
      <c r="I107" s="1" t="s">
        <v>433</v>
      </c>
      <c r="J107" t="s">
        <v>446</v>
      </c>
      <c r="K107" s="12">
        <v>9.9</v>
      </c>
      <c r="L107" s="14">
        <f ca="1">TRUNC((TODAY()-TabelaBase[[#This Row],[Data Nascimento]])/365)</f>
        <v>33</v>
      </c>
      <c r="M107" s="14" t="str">
        <f ca="1">HLOOKUP(TabelaBase[[#This Row],[Idade]],$O$3:$R$4,2,TRUE)</f>
        <v>24-34</v>
      </c>
    </row>
    <row r="108" spans="2:13" x14ac:dyDescent="0.3">
      <c r="B108" s="11">
        <v>30890249713</v>
      </c>
      <c r="C108" t="s">
        <v>293</v>
      </c>
      <c r="D108" t="s">
        <v>6</v>
      </c>
      <c r="E108" t="s">
        <v>7</v>
      </c>
      <c r="F108" t="s">
        <v>427</v>
      </c>
      <c r="G108" t="s">
        <v>424</v>
      </c>
      <c r="H108" s="1">
        <v>31664</v>
      </c>
      <c r="I108" s="1" t="s">
        <v>433</v>
      </c>
      <c r="J108" t="s">
        <v>445</v>
      </c>
      <c r="K108" s="12">
        <v>35.9</v>
      </c>
      <c r="L108" s="14">
        <f ca="1">TRUNC((TODAY()-TabelaBase[[#This Row],[Data Nascimento]])/365)</f>
        <v>39</v>
      </c>
      <c r="M108" s="14" t="str">
        <f ca="1">HLOOKUP(TabelaBase[[#This Row],[Idade]],$O$3:$R$4,2,TRUE)</f>
        <v>35 - 44</v>
      </c>
    </row>
    <row r="109" spans="2:13" x14ac:dyDescent="0.3">
      <c r="B109" s="11">
        <v>30904162810</v>
      </c>
      <c r="C109" t="s">
        <v>264</v>
      </c>
      <c r="D109" t="s">
        <v>6</v>
      </c>
      <c r="E109" t="s">
        <v>417</v>
      </c>
      <c r="F109" t="s">
        <v>13</v>
      </c>
      <c r="G109" t="s">
        <v>425</v>
      </c>
      <c r="H109" s="1">
        <v>25842</v>
      </c>
      <c r="I109" s="1" t="s">
        <v>433</v>
      </c>
      <c r="J109" t="s">
        <v>445</v>
      </c>
      <c r="K109" s="12">
        <v>35.9</v>
      </c>
      <c r="L109" s="14">
        <f ca="1">TRUNC((TODAY()-TabelaBase[[#This Row],[Data Nascimento]])/365)</f>
        <v>55</v>
      </c>
      <c r="M109" s="14" t="str">
        <f ca="1">HLOOKUP(TabelaBase[[#This Row],[Idade]],$O$3:$R$4,2,TRUE)</f>
        <v>54-70</v>
      </c>
    </row>
    <row r="110" spans="2:13" x14ac:dyDescent="0.3">
      <c r="B110" s="11">
        <v>31161056912</v>
      </c>
      <c r="C110" t="s">
        <v>173</v>
      </c>
      <c r="D110" t="s">
        <v>6</v>
      </c>
      <c r="E110" t="s">
        <v>7</v>
      </c>
      <c r="F110" t="s">
        <v>427</v>
      </c>
      <c r="G110" t="s">
        <v>424</v>
      </c>
      <c r="H110" s="1">
        <v>26656</v>
      </c>
      <c r="I110" s="1" t="s">
        <v>433</v>
      </c>
      <c r="J110" t="s">
        <v>445</v>
      </c>
      <c r="K110" s="12">
        <v>35.9</v>
      </c>
      <c r="L110" s="14">
        <f ca="1">TRUNC((TODAY()-TabelaBase[[#This Row],[Data Nascimento]])/365)</f>
        <v>53</v>
      </c>
      <c r="M110" s="14" t="str">
        <f ca="1">HLOOKUP(TabelaBase[[#This Row],[Idade]],$O$3:$R$4,2,TRUE)</f>
        <v>44 - 54</v>
      </c>
    </row>
    <row r="111" spans="2:13" x14ac:dyDescent="0.3">
      <c r="B111" s="11">
        <v>31194503371</v>
      </c>
      <c r="C111" t="s">
        <v>75</v>
      </c>
      <c r="D111" t="s">
        <v>6</v>
      </c>
      <c r="E111" t="s">
        <v>417</v>
      </c>
      <c r="F111" t="s">
        <v>9</v>
      </c>
      <c r="G111" t="s">
        <v>425</v>
      </c>
      <c r="H111" s="1">
        <v>29709</v>
      </c>
      <c r="I111" s="1" t="s">
        <v>433</v>
      </c>
      <c r="J111" t="s">
        <v>446</v>
      </c>
      <c r="K111" s="12">
        <v>9.9</v>
      </c>
      <c r="L111" s="14">
        <f ca="1">TRUNC((TODAY()-TabelaBase[[#This Row],[Data Nascimento]])/365)</f>
        <v>44</v>
      </c>
      <c r="M111" s="14" t="str">
        <f ca="1">HLOOKUP(TabelaBase[[#This Row],[Idade]],$O$3:$R$4,2,TRUE)</f>
        <v>44 - 54</v>
      </c>
    </row>
    <row r="112" spans="2:13" x14ac:dyDescent="0.3">
      <c r="B112" s="11">
        <v>31239662843</v>
      </c>
      <c r="C112" t="s">
        <v>116</v>
      </c>
      <c r="D112" t="s">
        <v>5</v>
      </c>
      <c r="E112" t="s">
        <v>7</v>
      </c>
      <c r="F112" t="s">
        <v>13</v>
      </c>
      <c r="G112" t="s">
        <v>426</v>
      </c>
      <c r="H112" s="1">
        <v>21125</v>
      </c>
      <c r="I112" s="1" t="s">
        <v>433</v>
      </c>
      <c r="J112" t="s">
        <v>446</v>
      </c>
      <c r="K112" s="12">
        <v>9.9</v>
      </c>
      <c r="L112" s="14">
        <f ca="1">TRUNC((TODAY()-TabelaBase[[#This Row],[Data Nascimento]])/365)</f>
        <v>68</v>
      </c>
      <c r="M112" s="14" t="str">
        <f ca="1">HLOOKUP(TabelaBase[[#This Row],[Idade]],$O$3:$R$4,2,TRUE)</f>
        <v>54-70</v>
      </c>
    </row>
    <row r="113" spans="2:13" x14ac:dyDescent="0.3">
      <c r="B113" s="11">
        <v>31323760929</v>
      </c>
      <c r="C113" t="s">
        <v>237</v>
      </c>
      <c r="D113" t="s">
        <v>5</v>
      </c>
      <c r="E113" t="s">
        <v>7</v>
      </c>
      <c r="F113" t="s">
        <v>427</v>
      </c>
      <c r="G113" t="s">
        <v>425</v>
      </c>
      <c r="H113" s="1">
        <v>20318</v>
      </c>
      <c r="I113" s="1" t="s">
        <v>433</v>
      </c>
      <c r="J113" t="s">
        <v>446</v>
      </c>
      <c r="K113" s="12">
        <v>9.9</v>
      </c>
      <c r="L113" s="14">
        <f ca="1">TRUNC((TODAY()-TabelaBase[[#This Row],[Data Nascimento]])/365)</f>
        <v>70</v>
      </c>
      <c r="M113" s="14" t="str">
        <f ca="1">HLOOKUP(TabelaBase[[#This Row],[Idade]],$O$3:$R$4,2,TRUE)</f>
        <v>54-70</v>
      </c>
    </row>
    <row r="114" spans="2:13" x14ac:dyDescent="0.3">
      <c r="B114" s="11">
        <v>31519057095</v>
      </c>
      <c r="C114" t="s">
        <v>404</v>
      </c>
      <c r="D114" t="s">
        <v>5</v>
      </c>
      <c r="E114" t="s">
        <v>418</v>
      </c>
      <c r="F114" t="s">
        <v>13</v>
      </c>
      <c r="G114" t="s">
        <v>425</v>
      </c>
      <c r="H114" s="1">
        <v>25728</v>
      </c>
      <c r="I114" s="1" t="s">
        <v>429</v>
      </c>
      <c r="J114" t="s">
        <v>446</v>
      </c>
      <c r="K114" s="12">
        <v>9.9</v>
      </c>
      <c r="L114" s="14">
        <f ca="1">TRUNC((TODAY()-TabelaBase[[#This Row],[Data Nascimento]])/365)</f>
        <v>55</v>
      </c>
      <c r="M114" s="14" t="str">
        <f ca="1">HLOOKUP(TabelaBase[[#This Row],[Idade]],$O$3:$R$4,2,TRUE)</f>
        <v>54-70</v>
      </c>
    </row>
    <row r="115" spans="2:13" x14ac:dyDescent="0.3">
      <c r="B115" s="11">
        <v>31654890307</v>
      </c>
      <c r="C115" t="s">
        <v>60</v>
      </c>
      <c r="D115" t="s">
        <v>6</v>
      </c>
      <c r="E115" t="s">
        <v>7</v>
      </c>
      <c r="F115" t="s">
        <v>13</v>
      </c>
      <c r="G115" t="s">
        <v>425</v>
      </c>
      <c r="H115" s="1">
        <v>21193</v>
      </c>
      <c r="I115" s="1" t="s">
        <v>432</v>
      </c>
      <c r="J115" t="s">
        <v>446</v>
      </c>
      <c r="K115" s="12">
        <v>9.9</v>
      </c>
      <c r="L115" s="14">
        <f ca="1">TRUNC((TODAY()-TabelaBase[[#This Row],[Data Nascimento]])/365)</f>
        <v>68</v>
      </c>
      <c r="M115" s="14" t="str">
        <f ca="1">HLOOKUP(TabelaBase[[#This Row],[Idade]],$O$3:$R$4,2,TRUE)</f>
        <v>54-70</v>
      </c>
    </row>
    <row r="116" spans="2:13" x14ac:dyDescent="0.3">
      <c r="B116" s="11">
        <v>31655555649</v>
      </c>
      <c r="C116" t="s">
        <v>266</v>
      </c>
      <c r="D116" t="s">
        <v>6</v>
      </c>
      <c r="E116" t="s">
        <v>417</v>
      </c>
      <c r="F116" t="s">
        <v>13</v>
      </c>
      <c r="G116" t="s">
        <v>426</v>
      </c>
      <c r="H116" s="1">
        <v>30420</v>
      </c>
      <c r="I116" s="1" t="s">
        <v>436</v>
      </c>
      <c r="J116" t="s">
        <v>447</v>
      </c>
      <c r="K116" s="12">
        <v>79.900000000000006</v>
      </c>
      <c r="L116" s="14">
        <f ca="1">TRUNC((TODAY()-TabelaBase[[#This Row],[Data Nascimento]])/365)</f>
        <v>42</v>
      </c>
      <c r="M116" s="14" t="str">
        <f ca="1">HLOOKUP(TabelaBase[[#This Row],[Idade]],$O$3:$R$4,2,TRUE)</f>
        <v>35 - 44</v>
      </c>
    </row>
    <row r="117" spans="2:13" x14ac:dyDescent="0.3">
      <c r="B117" s="11">
        <v>31834447574</v>
      </c>
      <c r="C117" t="s">
        <v>283</v>
      </c>
      <c r="D117" t="s">
        <v>6</v>
      </c>
      <c r="E117" t="s">
        <v>7</v>
      </c>
      <c r="F117" t="s">
        <v>12</v>
      </c>
      <c r="G117" t="s">
        <v>424</v>
      </c>
      <c r="H117" s="1">
        <v>33920</v>
      </c>
      <c r="I117" s="1" t="s">
        <v>436</v>
      </c>
      <c r="J117" t="s">
        <v>446</v>
      </c>
      <c r="K117" s="12">
        <v>9.9</v>
      </c>
      <c r="L117" s="14">
        <f ca="1">TRUNC((TODAY()-TabelaBase[[#This Row],[Data Nascimento]])/365)</f>
        <v>33</v>
      </c>
      <c r="M117" s="14" t="str">
        <f ca="1">HLOOKUP(TabelaBase[[#This Row],[Idade]],$O$3:$R$4,2,TRUE)</f>
        <v>24-34</v>
      </c>
    </row>
    <row r="118" spans="2:13" x14ac:dyDescent="0.3">
      <c r="B118" s="11">
        <v>31841604153</v>
      </c>
      <c r="C118" t="s">
        <v>400</v>
      </c>
      <c r="D118" t="s">
        <v>6</v>
      </c>
      <c r="E118" t="s">
        <v>7</v>
      </c>
      <c r="F118" t="s">
        <v>14</v>
      </c>
      <c r="G118" t="s">
        <v>426</v>
      </c>
      <c r="H118" s="1">
        <v>30991</v>
      </c>
      <c r="I118" s="1" t="s">
        <v>436</v>
      </c>
      <c r="J118" t="s">
        <v>444</v>
      </c>
      <c r="K118" s="12">
        <v>29.9</v>
      </c>
      <c r="L118" s="14">
        <f ca="1">TRUNC((TODAY()-TabelaBase[[#This Row],[Data Nascimento]])/365)</f>
        <v>41</v>
      </c>
      <c r="M118" s="14" t="str">
        <f ca="1">HLOOKUP(TabelaBase[[#This Row],[Idade]],$O$3:$R$4,2,TRUE)</f>
        <v>35 - 44</v>
      </c>
    </row>
    <row r="119" spans="2:13" x14ac:dyDescent="0.3">
      <c r="B119" s="11">
        <v>31886556092</v>
      </c>
      <c r="C119" t="s">
        <v>249</v>
      </c>
      <c r="D119" t="s">
        <v>6</v>
      </c>
      <c r="E119" t="s">
        <v>8</v>
      </c>
      <c r="F119" t="s">
        <v>427</v>
      </c>
      <c r="G119" t="s">
        <v>424</v>
      </c>
      <c r="H119" s="1">
        <v>32903</v>
      </c>
      <c r="I119" s="1" t="s">
        <v>436</v>
      </c>
      <c r="J119" t="s">
        <v>446</v>
      </c>
      <c r="K119" s="12">
        <v>9.9</v>
      </c>
      <c r="L119" s="14">
        <f ca="1">TRUNC((TODAY()-TabelaBase[[#This Row],[Data Nascimento]])/365)</f>
        <v>35</v>
      </c>
      <c r="M119" s="14" t="str">
        <f ca="1">HLOOKUP(TabelaBase[[#This Row],[Idade]],$O$3:$R$4,2,TRUE)</f>
        <v>35 - 44</v>
      </c>
    </row>
    <row r="120" spans="2:13" x14ac:dyDescent="0.3">
      <c r="B120" s="11">
        <v>31935346566</v>
      </c>
      <c r="C120" t="s">
        <v>37</v>
      </c>
      <c r="D120" t="s">
        <v>6</v>
      </c>
      <c r="E120" t="s">
        <v>7</v>
      </c>
      <c r="F120" t="s">
        <v>427</v>
      </c>
      <c r="G120" t="s">
        <v>425</v>
      </c>
      <c r="H120" s="1">
        <v>23998</v>
      </c>
      <c r="I120" s="1" t="s">
        <v>436</v>
      </c>
      <c r="J120" t="s">
        <v>445</v>
      </c>
      <c r="K120" s="12">
        <v>35.9</v>
      </c>
      <c r="L120" s="14">
        <f ca="1">TRUNC((TODAY()-TabelaBase[[#This Row],[Data Nascimento]])/365)</f>
        <v>60</v>
      </c>
      <c r="M120" s="14" t="str">
        <f ca="1">HLOOKUP(TabelaBase[[#This Row],[Idade]],$O$3:$R$4,2,TRUE)</f>
        <v>54-70</v>
      </c>
    </row>
    <row r="121" spans="2:13" x14ac:dyDescent="0.3">
      <c r="B121" s="11">
        <v>31969357318</v>
      </c>
      <c r="C121" t="s">
        <v>346</v>
      </c>
      <c r="D121" t="s">
        <v>6</v>
      </c>
      <c r="E121" t="s">
        <v>417</v>
      </c>
      <c r="F121" t="s">
        <v>14</v>
      </c>
      <c r="G121" t="s">
        <v>426</v>
      </c>
      <c r="H121" s="1">
        <v>23232</v>
      </c>
      <c r="I121" s="1" t="s">
        <v>436</v>
      </c>
      <c r="J121" t="s">
        <v>444</v>
      </c>
      <c r="K121" s="12">
        <v>29.9</v>
      </c>
      <c r="L121" s="14">
        <f ca="1">TRUNC((TODAY()-TabelaBase[[#This Row],[Data Nascimento]])/365)</f>
        <v>62</v>
      </c>
      <c r="M121" s="14" t="str">
        <f ca="1">HLOOKUP(TabelaBase[[#This Row],[Idade]],$O$3:$R$4,2,TRUE)</f>
        <v>54-70</v>
      </c>
    </row>
    <row r="122" spans="2:13" x14ac:dyDescent="0.3">
      <c r="B122" s="11">
        <v>31971403474</v>
      </c>
      <c r="C122" t="s">
        <v>107</v>
      </c>
      <c r="D122" t="s">
        <v>6</v>
      </c>
      <c r="E122" t="s">
        <v>7</v>
      </c>
      <c r="F122" t="s">
        <v>13</v>
      </c>
      <c r="G122" t="s">
        <v>425</v>
      </c>
      <c r="H122" s="1">
        <v>32677</v>
      </c>
      <c r="I122" s="1" t="s">
        <v>435</v>
      </c>
      <c r="J122" t="s">
        <v>444</v>
      </c>
      <c r="K122" s="12">
        <v>29.9</v>
      </c>
      <c r="L122" s="14">
        <f ca="1">TRUNC((TODAY()-TabelaBase[[#This Row],[Data Nascimento]])/365)</f>
        <v>36</v>
      </c>
      <c r="M122" s="14" t="str">
        <f ca="1">HLOOKUP(TabelaBase[[#This Row],[Idade]],$O$3:$R$4,2,TRUE)</f>
        <v>35 - 44</v>
      </c>
    </row>
    <row r="123" spans="2:13" x14ac:dyDescent="0.3">
      <c r="B123" s="11">
        <v>31985811228</v>
      </c>
      <c r="C123" t="s">
        <v>358</v>
      </c>
      <c r="D123" t="s">
        <v>6</v>
      </c>
      <c r="E123" t="s">
        <v>417</v>
      </c>
      <c r="F123" t="s">
        <v>427</v>
      </c>
      <c r="G123" t="s">
        <v>426</v>
      </c>
      <c r="H123" s="1">
        <v>33035</v>
      </c>
      <c r="I123" s="1" t="s">
        <v>433</v>
      </c>
      <c r="J123" t="s">
        <v>444</v>
      </c>
      <c r="K123" s="12">
        <v>29.9</v>
      </c>
      <c r="L123" s="14">
        <f ca="1">TRUNC((TODAY()-TabelaBase[[#This Row],[Data Nascimento]])/365)</f>
        <v>35</v>
      </c>
      <c r="M123" s="14" t="str">
        <f ca="1">HLOOKUP(TabelaBase[[#This Row],[Idade]],$O$3:$R$4,2,TRUE)</f>
        <v>35 - 44</v>
      </c>
    </row>
    <row r="124" spans="2:13" x14ac:dyDescent="0.3">
      <c r="B124" s="11">
        <v>32043808085</v>
      </c>
      <c r="C124" t="s">
        <v>35</v>
      </c>
      <c r="D124" t="s">
        <v>6</v>
      </c>
      <c r="E124" t="s">
        <v>417</v>
      </c>
      <c r="F124" t="s">
        <v>13</v>
      </c>
      <c r="G124" t="s">
        <v>425</v>
      </c>
      <c r="H124" s="1">
        <v>30767</v>
      </c>
      <c r="I124" s="1" t="s">
        <v>433</v>
      </c>
      <c r="J124" t="s">
        <v>444</v>
      </c>
      <c r="K124" s="12">
        <v>29.9</v>
      </c>
      <c r="L124" s="14">
        <f ca="1">TRUNC((TODAY()-TabelaBase[[#This Row],[Data Nascimento]])/365)</f>
        <v>41</v>
      </c>
      <c r="M124" s="14" t="str">
        <f ca="1">HLOOKUP(TabelaBase[[#This Row],[Idade]],$O$3:$R$4,2,TRUE)</f>
        <v>35 - 44</v>
      </c>
    </row>
    <row r="125" spans="2:13" x14ac:dyDescent="0.3">
      <c r="B125" s="11">
        <v>32056730472</v>
      </c>
      <c r="C125" t="s">
        <v>62</v>
      </c>
      <c r="D125" t="s">
        <v>5</v>
      </c>
      <c r="E125" t="s">
        <v>8</v>
      </c>
      <c r="F125" t="s">
        <v>13</v>
      </c>
      <c r="G125" t="s">
        <v>424</v>
      </c>
      <c r="H125" s="1">
        <v>24370</v>
      </c>
      <c r="I125" s="1" t="s">
        <v>433</v>
      </c>
      <c r="J125" t="s">
        <v>446</v>
      </c>
      <c r="K125" s="12">
        <v>9.9</v>
      </c>
      <c r="L125" s="14">
        <f ca="1">TRUNC((TODAY()-TabelaBase[[#This Row],[Data Nascimento]])/365)</f>
        <v>59</v>
      </c>
      <c r="M125" s="14" t="str">
        <f ca="1">HLOOKUP(TabelaBase[[#This Row],[Idade]],$O$3:$R$4,2,TRUE)</f>
        <v>54-70</v>
      </c>
    </row>
    <row r="126" spans="2:13" x14ac:dyDescent="0.3">
      <c r="B126" s="11">
        <v>32076448530</v>
      </c>
      <c r="C126" t="s">
        <v>337</v>
      </c>
      <c r="D126" t="s">
        <v>5</v>
      </c>
      <c r="E126" t="s">
        <v>7</v>
      </c>
      <c r="F126" t="s">
        <v>12</v>
      </c>
      <c r="G126" t="s">
        <v>425</v>
      </c>
      <c r="H126" s="1">
        <v>23736</v>
      </c>
      <c r="I126" s="1" t="s">
        <v>433</v>
      </c>
      <c r="J126" t="s">
        <v>445</v>
      </c>
      <c r="K126" s="12">
        <v>35.9</v>
      </c>
      <c r="L126" s="14">
        <f ca="1">TRUNC((TODAY()-TabelaBase[[#This Row],[Data Nascimento]])/365)</f>
        <v>61</v>
      </c>
      <c r="M126" s="14" t="str">
        <f ca="1">HLOOKUP(TabelaBase[[#This Row],[Idade]],$O$3:$R$4,2,TRUE)</f>
        <v>54-70</v>
      </c>
    </row>
    <row r="127" spans="2:13" x14ac:dyDescent="0.3">
      <c r="B127" s="11">
        <v>32076861903</v>
      </c>
      <c r="C127" t="s">
        <v>345</v>
      </c>
      <c r="D127" t="s">
        <v>5</v>
      </c>
      <c r="E127" t="s">
        <v>7</v>
      </c>
      <c r="F127" t="s">
        <v>427</v>
      </c>
      <c r="G127" t="s">
        <v>425</v>
      </c>
      <c r="H127" s="1">
        <v>23957</v>
      </c>
      <c r="I127" s="1" t="s">
        <v>433</v>
      </c>
      <c r="J127" t="s">
        <v>446</v>
      </c>
      <c r="K127" s="12">
        <v>9.9</v>
      </c>
      <c r="L127" s="14">
        <f ca="1">TRUNC((TODAY()-TabelaBase[[#This Row],[Data Nascimento]])/365)</f>
        <v>60</v>
      </c>
      <c r="M127" s="14" t="str">
        <f ca="1">HLOOKUP(TabelaBase[[#This Row],[Idade]],$O$3:$R$4,2,TRUE)</f>
        <v>54-70</v>
      </c>
    </row>
    <row r="128" spans="2:13" x14ac:dyDescent="0.3">
      <c r="B128" s="11">
        <v>32080730358</v>
      </c>
      <c r="C128" t="s">
        <v>375</v>
      </c>
      <c r="D128" t="s">
        <v>6</v>
      </c>
      <c r="E128" t="s">
        <v>417</v>
      </c>
      <c r="F128" t="s">
        <v>9</v>
      </c>
      <c r="G128" t="s">
        <v>425</v>
      </c>
      <c r="H128" s="1">
        <v>31794</v>
      </c>
      <c r="I128" s="1" t="s">
        <v>430</v>
      </c>
      <c r="J128" t="s">
        <v>444</v>
      </c>
      <c r="K128" s="12">
        <v>29.9</v>
      </c>
      <c r="L128" s="14">
        <f ca="1">TRUNC((TODAY()-TabelaBase[[#This Row],[Data Nascimento]])/365)</f>
        <v>39</v>
      </c>
      <c r="M128" s="14" t="str">
        <f ca="1">HLOOKUP(TabelaBase[[#This Row],[Idade]],$O$3:$R$4,2,TRUE)</f>
        <v>35 - 44</v>
      </c>
    </row>
    <row r="129" spans="2:13" x14ac:dyDescent="0.3">
      <c r="B129" s="11">
        <v>32359135449</v>
      </c>
      <c r="C129" t="s">
        <v>302</v>
      </c>
      <c r="D129" t="s">
        <v>6</v>
      </c>
      <c r="E129" t="s">
        <v>8</v>
      </c>
      <c r="F129" t="s">
        <v>13</v>
      </c>
      <c r="G129" t="s">
        <v>424</v>
      </c>
      <c r="H129" s="1">
        <v>22445</v>
      </c>
      <c r="I129" s="1" t="s">
        <v>429</v>
      </c>
      <c r="J129" t="s">
        <v>446</v>
      </c>
      <c r="K129" s="12">
        <v>9.9</v>
      </c>
      <c r="L129" s="14">
        <f ca="1">TRUNC((TODAY()-TabelaBase[[#This Row],[Data Nascimento]])/365)</f>
        <v>64</v>
      </c>
      <c r="M129" s="14" t="str">
        <f ca="1">HLOOKUP(TabelaBase[[#This Row],[Idade]],$O$3:$R$4,2,TRUE)</f>
        <v>54-70</v>
      </c>
    </row>
    <row r="130" spans="2:13" x14ac:dyDescent="0.3">
      <c r="B130" s="11">
        <v>32373994641</v>
      </c>
      <c r="C130" t="s">
        <v>143</v>
      </c>
      <c r="D130" t="s">
        <v>6</v>
      </c>
      <c r="E130" t="s">
        <v>7</v>
      </c>
      <c r="F130" t="s">
        <v>427</v>
      </c>
      <c r="G130" t="s">
        <v>424</v>
      </c>
      <c r="H130" s="1">
        <v>20716</v>
      </c>
      <c r="I130" s="1" t="s">
        <v>431</v>
      </c>
      <c r="J130" t="s">
        <v>444</v>
      </c>
      <c r="K130" s="12">
        <v>29.9</v>
      </c>
      <c r="L130" s="14">
        <f ca="1">TRUNC((TODAY()-TabelaBase[[#This Row],[Data Nascimento]])/365)</f>
        <v>69</v>
      </c>
      <c r="M130" s="14" t="str">
        <f ca="1">HLOOKUP(TabelaBase[[#This Row],[Idade]],$O$3:$R$4,2,TRUE)</f>
        <v>54-70</v>
      </c>
    </row>
    <row r="131" spans="2:13" x14ac:dyDescent="0.3">
      <c r="B131" s="11">
        <v>32485376814</v>
      </c>
      <c r="C131" t="s">
        <v>320</v>
      </c>
      <c r="D131" t="s">
        <v>6</v>
      </c>
      <c r="E131" t="s">
        <v>7</v>
      </c>
      <c r="F131" t="s">
        <v>13</v>
      </c>
      <c r="G131" t="s">
        <v>426</v>
      </c>
      <c r="H131" s="1">
        <v>24536</v>
      </c>
      <c r="I131" s="1" t="s">
        <v>432</v>
      </c>
      <c r="J131" t="s">
        <v>444</v>
      </c>
      <c r="K131" s="12">
        <v>29.9</v>
      </c>
      <c r="L131" s="14">
        <f ca="1">TRUNC((TODAY()-TabelaBase[[#This Row],[Data Nascimento]])/365)</f>
        <v>58</v>
      </c>
      <c r="M131" s="14" t="str">
        <f ca="1">HLOOKUP(TabelaBase[[#This Row],[Idade]],$O$3:$R$4,2,TRUE)</f>
        <v>54-70</v>
      </c>
    </row>
    <row r="132" spans="2:13" x14ac:dyDescent="0.3">
      <c r="B132" s="11">
        <v>32558610072</v>
      </c>
      <c r="C132" t="s">
        <v>16</v>
      </c>
      <c r="D132" t="s">
        <v>6</v>
      </c>
      <c r="E132" t="s">
        <v>416</v>
      </c>
      <c r="F132" t="s">
        <v>14</v>
      </c>
      <c r="G132" t="s">
        <v>426</v>
      </c>
      <c r="H132" s="1">
        <v>29671</v>
      </c>
      <c r="I132" s="1" t="s">
        <v>434</v>
      </c>
      <c r="J132" t="s">
        <v>444</v>
      </c>
      <c r="K132" s="12">
        <v>29.9</v>
      </c>
      <c r="L132" s="14">
        <f ca="1">TRUNC((TODAY()-TabelaBase[[#This Row],[Data Nascimento]])/365)</f>
        <v>44</v>
      </c>
      <c r="M132" s="14" t="str">
        <f ca="1">HLOOKUP(TabelaBase[[#This Row],[Idade]],$O$3:$R$4,2,TRUE)</f>
        <v>44 - 54</v>
      </c>
    </row>
    <row r="133" spans="2:13" x14ac:dyDescent="0.3">
      <c r="B133" s="11">
        <v>32861405102</v>
      </c>
      <c r="C133" t="s">
        <v>209</v>
      </c>
      <c r="D133" t="s">
        <v>6</v>
      </c>
      <c r="E133" t="s">
        <v>8</v>
      </c>
      <c r="F133" t="s">
        <v>427</v>
      </c>
      <c r="G133" t="s">
        <v>424</v>
      </c>
      <c r="H133" s="1">
        <v>24308</v>
      </c>
      <c r="I133" s="1" t="s">
        <v>430</v>
      </c>
      <c r="J133" t="s">
        <v>445</v>
      </c>
      <c r="K133" s="12">
        <v>35.9</v>
      </c>
      <c r="L133" s="14">
        <f ca="1">TRUNC((TODAY()-TabelaBase[[#This Row],[Data Nascimento]])/365)</f>
        <v>59</v>
      </c>
      <c r="M133" s="14" t="str">
        <f ca="1">HLOOKUP(TabelaBase[[#This Row],[Idade]],$O$3:$R$4,2,TRUE)</f>
        <v>54-70</v>
      </c>
    </row>
    <row r="134" spans="2:13" x14ac:dyDescent="0.3">
      <c r="B134" s="11">
        <v>32910016971</v>
      </c>
      <c r="C134" t="s">
        <v>257</v>
      </c>
      <c r="D134" t="s">
        <v>5</v>
      </c>
      <c r="E134" t="s">
        <v>7</v>
      </c>
      <c r="F134" t="s">
        <v>427</v>
      </c>
      <c r="G134" t="s">
        <v>425</v>
      </c>
      <c r="H134" s="1">
        <v>28587</v>
      </c>
      <c r="I134" s="1" t="s">
        <v>435</v>
      </c>
      <c r="J134" t="s">
        <v>445</v>
      </c>
      <c r="K134" s="12">
        <v>35.9</v>
      </c>
      <c r="L134" s="14">
        <f ca="1">TRUNC((TODAY()-TabelaBase[[#This Row],[Data Nascimento]])/365)</f>
        <v>47</v>
      </c>
      <c r="M134" s="14" t="str">
        <f ca="1">HLOOKUP(TabelaBase[[#This Row],[Idade]],$O$3:$R$4,2,TRUE)</f>
        <v>44 - 54</v>
      </c>
    </row>
    <row r="135" spans="2:13" x14ac:dyDescent="0.3">
      <c r="B135" s="11">
        <v>32944488783</v>
      </c>
      <c r="C135" t="s">
        <v>119</v>
      </c>
      <c r="D135" t="s">
        <v>6</v>
      </c>
      <c r="E135" t="s">
        <v>8</v>
      </c>
      <c r="F135" t="s">
        <v>427</v>
      </c>
      <c r="G135" t="s">
        <v>425</v>
      </c>
      <c r="H135" s="1">
        <v>26442</v>
      </c>
      <c r="I135" s="1" t="s">
        <v>436</v>
      </c>
      <c r="J135" t="s">
        <v>444</v>
      </c>
      <c r="K135" s="12">
        <v>29.9</v>
      </c>
      <c r="L135" s="14">
        <f ca="1">TRUNC((TODAY()-TabelaBase[[#This Row],[Data Nascimento]])/365)</f>
        <v>53</v>
      </c>
      <c r="M135" s="14" t="str">
        <f ca="1">HLOOKUP(TabelaBase[[#This Row],[Idade]],$O$3:$R$4,2,TRUE)</f>
        <v>44 - 54</v>
      </c>
    </row>
    <row r="136" spans="2:13" x14ac:dyDescent="0.3">
      <c r="B136" s="11">
        <v>33045087456</v>
      </c>
      <c r="C136" t="s">
        <v>344</v>
      </c>
      <c r="D136" t="s">
        <v>6</v>
      </c>
      <c r="E136" t="s">
        <v>417</v>
      </c>
      <c r="F136" t="s">
        <v>13</v>
      </c>
      <c r="G136" t="s">
        <v>425</v>
      </c>
      <c r="H136" s="1">
        <v>29216</v>
      </c>
      <c r="I136" s="1" t="s">
        <v>430</v>
      </c>
      <c r="J136" t="s">
        <v>444</v>
      </c>
      <c r="K136" s="12">
        <v>29.9</v>
      </c>
      <c r="L136" s="14">
        <f ca="1">TRUNC((TODAY()-TabelaBase[[#This Row],[Data Nascimento]])/365)</f>
        <v>46</v>
      </c>
      <c r="M136" s="14" t="str">
        <f ca="1">HLOOKUP(TabelaBase[[#This Row],[Idade]],$O$3:$R$4,2,TRUE)</f>
        <v>44 - 54</v>
      </c>
    </row>
    <row r="137" spans="2:13" x14ac:dyDescent="0.3">
      <c r="B137" s="11">
        <v>33083932561</v>
      </c>
      <c r="C137" t="s">
        <v>322</v>
      </c>
      <c r="D137" t="s">
        <v>6</v>
      </c>
      <c r="E137" t="s">
        <v>8</v>
      </c>
      <c r="F137" t="s">
        <v>14</v>
      </c>
      <c r="G137" t="s">
        <v>424</v>
      </c>
      <c r="H137" s="1">
        <v>20130</v>
      </c>
      <c r="I137" s="1" t="s">
        <v>435</v>
      </c>
      <c r="J137" t="s">
        <v>444</v>
      </c>
      <c r="K137" s="12">
        <v>29.9</v>
      </c>
      <c r="L137" s="14">
        <f ca="1">TRUNC((TODAY()-TabelaBase[[#This Row],[Data Nascimento]])/365)</f>
        <v>70</v>
      </c>
      <c r="M137" s="14" t="str">
        <f ca="1">HLOOKUP(TabelaBase[[#This Row],[Idade]],$O$3:$R$4,2,TRUE)</f>
        <v>54-70</v>
      </c>
    </row>
    <row r="138" spans="2:13" x14ac:dyDescent="0.3">
      <c r="B138" s="11">
        <v>33120179107</v>
      </c>
      <c r="C138" t="s">
        <v>172</v>
      </c>
      <c r="D138" t="s">
        <v>6</v>
      </c>
      <c r="E138" t="s">
        <v>8</v>
      </c>
      <c r="F138" t="s">
        <v>14</v>
      </c>
      <c r="G138" t="s">
        <v>425</v>
      </c>
      <c r="H138" s="1">
        <v>32048</v>
      </c>
      <c r="I138" s="1" t="s">
        <v>436</v>
      </c>
      <c r="J138" t="s">
        <v>444</v>
      </c>
      <c r="K138" s="12">
        <v>29.9</v>
      </c>
      <c r="L138" s="14">
        <f ca="1">TRUNC((TODAY()-TabelaBase[[#This Row],[Data Nascimento]])/365)</f>
        <v>38</v>
      </c>
      <c r="M138" s="14" t="str">
        <f ca="1">HLOOKUP(TabelaBase[[#This Row],[Idade]],$O$3:$R$4,2,TRUE)</f>
        <v>35 - 44</v>
      </c>
    </row>
    <row r="139" spans="2:13" x14ac:dyDescent="0.3">
      <c r="B139" s="11">
        <v>33221309333</v>
      </c>
      <c r="C139" t="s">
        <v>403</v>
      </c>
      <c r="D139" t="s">
        <v>6</v>
      </c>
      <c r="E139" t="s">
        <v>7</v>
      </c>
      <c r="F139" t="s">
        <v>12</v>
      </c>
      <c r="G139" t="s">
        <v>424</v>
      </c>
      <c r="H139" s="1">
        <v>22002</v>
      </c>
      <c r="I139" s="1" t="s">
        <v>433</v>
      </c>
      <c r="J139" t="s">
        <v>446</v>
      </c>
      <c r="K139" s="12">
        <v>9.9</v>
      </c>
      <c r="L139" s="14">
        <f ca="1">TRUNC((TODAY()-TabelaBase[[#This Row],[Data Nascimento]])/365)</f>
        <v>65</v>
      </c>
      <c r="M139" s="14" t="str">
        <f ca="1">HLOOKUP(TabelaBase[[#This Row],[Idade]],$O$3:$R$4,2,TRUE)</f>
        <v>54-70</v>
      </c>
    </row>
    <row r="140" spans="2:13" x14ac:dyDescent="0.3">
      <c r="B140" s="11">
        <v>33247836129</v>
      </c>
      <c r="C140" t="s">
        <v>177</v>
      </c>
      <c r="D140" t="s">
        <v>5</v>
      </c>
      <c r="E140" t="s">
        <v>7</v>
      </c>
      <c r="F140" t="s">
        <v>427</v>
      </c>
      <c r="G140" t="s">
        <v>425</v>
      </c>
      <c r="H140" s="1">
        <v>34988</v>
      </c>
      <c r="I140" s="1" t="s">
        <v>433</v>
      </c>
      <c r="J140" t="s">
        <v>446</v>
      </c>
      <c r="K140" s="12">
        <v>9.9</v>
      </c>
      <c r="L140" s="14">
        <f ca="1">TRUNC((TODAY()-TabelaBase[[#This Row],[Data Nascimento]])/365)</f>
        <v>30</v>
      </c>
      <c r="M140" s="14" t="str">
        <f ca="1">HLOOKUP(TabelaBase[[#This Row],[Idade]],$O$3:$R$4,2,TRUE)</f>
        <v>24-34</v>
      </c>
    </row>
    <row r="141" spans="2:13" x14ac:dyDescent="0.3">
      <c r="B141" s="11">
        <v>33329077647</v>
      </c>
      <c r="C141" t="s">
        <v>262</v>
      </c>
      <c r="D141" t="s">
        <v>6</v>
      </c>
      <c r="E141" t="s">
        <v>8</v>
      </c>
      <c r="F141" t="s">
        <v>427</v>
      </c>
      <c r="G141" t="s">
        <v>424</v>
      </c>
      <c r="H141" s="1">
        <v>22149</v>
      </c>
      <c r="I141" s="1" t="s">
        <v>433</v>
      </c>
      <c r="J141" t="s">
        <v>444</v>
      </c>
      <c r="K141" s="12">
        <v>29.9</v>
      </c>
      <c r="L141" s="14">
        <f ca="1">TRUNC((TODAY()-TabelaBase[[#This Row],[Data Nascimento]])/365)</f>
        <v>65</v>
      </c>
      <c r="M141" s="14" t="str">
        <f ca="1">HLOOKUP(TabelaBase[[#This Row],[Idade]],$O$3:$R$4,2,TRUE)</f>
        <v>54-70</v>
      </c>
    </row>
    <row r="142" spans="2:13" x14ac:dyDescent="0.3">
      <c r="B142" s="11">
        <v>33353271839</v>
      </c>
      <c r="C142" t="s">
        <v>365</v>
      </c>
      <c r="D142" t="s">
        <v>6</v>
      </c>
      <c r="E142" t="s">
        <v>7</v>
      </c>
      <c r="F142" t="s">
        <v>427</v>
      </c>
      <c r="G142" t="s">
        <v>425</v>
      </c>
      <c r="H142" s="1">
        <v>20397</v>
      </c>
      <c r="I142" s="1" t="s">
        <v>433</v>
      </c>
      <c r="J142" t="s">
        <v>445</v>
      </c>
      <c r="K142" s="12">
        <v>35.9</v>
      </c>
      <c r="L142" s="14">
        <f ca="1">TRUNC((TODAY()-TabelaBase[[#This Row],[Data Nascimento]])/365)</f>
        <v>70</v>
      </c>
      <c r="M142" s="14" t="str">
        <f ca="1">HLOOKUP(TabelaBase[[#This Row],[Idade]],$O$3:$R$4,2,TRUE)</f>
        <v>54-70</v>
      </c>
    </row>
    <row r="143" spans="2:13" x14ac:dyDescent="0.3">
      <c r="B143" s="11">
        <v>33391594252</v>
      </c>
      <c r="C143" t="s">
        <v>126</v>
      </c>
      <c r="D143" t="s">
        <v>6</v>
      </c>
      <c r="E143" t="s">
        <v>417</v>
      </c>
      <c r="F143" t="s">
        <v>11</v>
      </c>
      <c r="G143" t="s">
        <v>426</v>
      </c>
      <c r="H143" s="1">
        <v>28577</v>
      </c>
      <c r="I143" s="1" t="s">
        <v>433</v>
      </c>
      <c r="J143" t="s">
        <v>447</v>
      </c>
      <c r="K143" s="12">
        <v>79.900000000000006</v>
      </c>
      <c r="L143" s="14">
        <f ca="1">TRUNC((TODAY()-TabelaBase[[#This Row],[Data Nascimento]])/365)</f>
        <v>47</v>
      </c>
      <c r="M143" s="14" t="str">
        <f ca="1">HLOOKUP(TabelaBase[[#This Row],[Idade]],$O$3:$R$4,2,TRUE)</f>
        <v>44 - 54</v>
      </c>
    </row>
    <row r="144" spans="2:13" x14ac:dyDescent="0.3">
      <c r="B144" s="11">
        <v>33482040032</v>
      </c>
      <c r="C144" t="s">
        <v>219</v>
      </c>
      <c r="D144" t="s">
        <v>5</v>
      </c>
      <c r="E144" t="s">
        <v>8</v>
      </c>
      <c r="F144" t="s">
        <v>9</v>
      </c>
      <c r="G144" t="s">
        <v>426</v>
      </c>
      <c r="H144" s="1">
        <v>32587</v>
      </c>
      <c r="I144" s="1" t="s">
        <v>433</v>
      </c>
      <c r="J144" t="s">
        <v>446</v>
      </c>
      <c r="K144" s="12">
        <v>9.9</v>
      </c>
      <c r="L144" s="14">
        <f ca="1">TRUNC((TODAY()-TabelaBase[[#This Row],[Data Nascimento]])/365)</f>
        <v>36</v>
      </c>
      <c r="M144" s="14" t="str">
        <f ca="1">HLOOKUP(TabelaBase[[#This Row],[Idade]],$O$3:$R$4,2,TRUE)</f>
        <v>35 - 44</v>
      </c>
    </row>
    <row r="145" spans="2:13" x14ac:dyDescent="0.3">
      <c r="B145" s="11">
        <v>33490248117</v>
      </c>
      <c r="C145" t="s">
        <v>117</v>
      </c>
      <c r="D145" t="s">
        <v>5</v>
      </c>
      <c r="E145" t="s">
        <v>7</v>
      </c>
      <c r="F145" t="s">
        <v>427</v>
      </c>
      <c r="G145" t="s">
        <v>425</v>
      </c>
      <c r="H145" s="1">
        <v>32883</v>
      </c>
      <c r="I145" s="1" t="s">
        <v>433</v>
      </c>
      <c r="J145" t="s">
        <v>446</v>
      </c>
      <c r="K145" s="12">
        <v>9.9</v>
      </c>
      <c r="L145" s="14">
        <f ca="1">TRUNC((TODAY()-TabelaBase[[#This Row],[Data Nascimento]])/365)</f>
        <v>36</v>
      </c>
      <c r="M145" s="14" t="str">
        <f ca="1">HLOOKUP(TabelaBase[[#This Row],[Idade]],$O$3:$R$4,2,TRUE)</f>
        <v>35 - 44</v>
      </c>
    </row>
    <row r="146" spans="2:13" x14ac:dyDescent="0.3">
      <c r="B146" s="11">
        <v>33585062982</v>
      </c>
      <c r="C146" t="s">
        <v>409</v>
      </c>
      <c r="D146" t="s">
        <v>6</v>
      </c>
      <c r="E146" t="s">
        <v>8</v>
      </c>
      <c r="F146" t="s">
        <v>12</v>
      </c>
      <c r="G146" t="s">
        <v>424</v>
      </c>
      <c r="H146" s="1">
        <v>21978</v>
      </c>
      <c r="I146" s="1" t="s">
        <v>433</v>
      </c>
      <c r="J146" t="s">
        <v>445</v>
      </c>
      <c r="K146" s="12">
        <v>35.9</v>
      </c>
      <c r="L146" s="14">
        <f ca="1">TRUNC((TODAY()-TabelaBase[[#This Row],[Data Nascimento]])/365)</f>
        <v>65</v>
      </c>
      <c r="M146" s="14" t="str">
        <f ca="1">HLOOKUP(TabelaBase[[#This Row],[Idade]],$O$3:$R$4,2,TRUE)</f>
        <v>54-70</v>
      </c>
    </row>
    <row r="147" spans="2:13" x14ac:dyDescent="0.3">
      <c r="B147" s="11">
        <v>33614763115</v>
      </c>
      <c r="C147" t="s">
        <v>178</v>
      </c>
      <c r="D147" t="s">
        <v>5</v>
      </c>
      <c r="E147" t="s">
        <v>417</v>
      </c>
      <c r="F147" t="s">
        <v>14</v>
      </c>
      <c r="G147" t="s">
        <v>426</v>
      </c>
      <c r="H147" s="1">
        <v>33973</v>
      </c>
      <c r="I147" s="1" t="s">
        <v>433</v>
      </c>
      <c r="J147" t="s">
        <v>444</v>
      </c>
      <c r="K147" s="12">
        <v>29.9</v>
      </c>
      <c r="L147" s="14">
        <f ca="1">TRUNC((TODAY()-TabelaBase[[#This Row],[Data Nascimento]])/365)</f>
        <v>33</v>
      </c>
      <c r="M147" s="14" t="str">
        <f ca="1">HLOOKUP(TabelaBase[[#This Row],[Idade]],$O$3:$R$4,2,TRUE)</f>
        <v>24-34</v>
      </c>
    </row>
    <row r="148" spans="2:13" x14ac:dyDescent="0.3">
      <c r="B148" s="11">
        <v>33625332262</v>
      </c>
      <c r="C148" t="s">
        <v>53</v>
      </c>
      <c r="D148" t="s">
        <v>6</v>
      </c>
      <c r="E148" t="s">
        <v>7</v>
      </c>
      <c r="F148" t="s">
        <v>427</v>
      </c>
      <c r="G148" t="s">
        <v>425</v>
      </c>
      <c r="H148" s="1">
        <v>25523</v>
      </c>
      <c r="I148" s="1" t="s">
        <v>429</v>
      </c>
      <c r="J148" t="s">
        <v>445</v>
      </c>
      <c r="K148" s="12">
        <v>35.9</v>
      </c>
      <c r="L148" s="14">
        <f ca="1">TRUNC((TODAY()-TabelaBase[[#This Row],[Data Nascimento]])/365)</f>
        <v>56</v>
      </c>
      <c r="M148" s="14" t="str">
        <f ca="1">HLOOKUP(TabelaBase[[#This Row],[Idade]],$O$3:$R$4,2,TRUE)</f>
        <v>54-70</v>
      </c>
    </row>
    <row r="149" spans="2:13" x14ac:dyDescent="0.3">
      <c r="B149" s="11">
        <v>33812311392</v>
      </c>
      <c r="C149" t="s">
        <v>414</v>
      </c>
      <c r="D149" t="s">
        <v>5</v>
      </c>
      <c r="E149" t="s">
        <v>417</v>
      </c>
      <c r="F149" t="s">
        <v>11</v>
      </c>
      <c r="G149" t="s">
        <v>425</v>
      </c>
      <c r="H149" s="1">
        <v>28641</v>
      </c>
      <c r="I149" s="1" t="s">
        <v>432</v>
      </c>
      <c r="J149" t="s">
        <v>447</v>
      </c>
      <c r="K149" s="12">
        <v>79.900000000000006</v>
      </c>
      <c r="L149" s="14">
        <f ca="1">TRUNC((TODAY()-TabelaBase[[#This Row],[Data Nascimento]])/365)</f>
        <v>47</v>
      </c>
      <c r="M149" s="14" t="str">
        <f ca="1">HLOOKUP(TabelaBase[[#This Row],[Idade]],$O$3:$R$4,2,TRUE)</f>
        <v>44 - 54</v>
      </c>
    </row>
    <row r="150" spans="2:13" x14ac:dyDescent="0.3">
      <c r="B150" s="11">
        <v>33839338471</v>
      </c>
      <c r="C150" t="s">
        <v>94</v>
      </c>
      <c r="D150" t="s">
        <v>6</v>
      </c>
      <c r="E150" t="s">
        <v>417</v>
      </c>
      <c r="F150" t="s">
        <v>427</v>
      </c>
      <c r="G150" t="s">
        <v>425</v>
      </c>
      <c r="H150" s="1">
        <v>34877</v>
      </c>
      <c r="I150" s="1" t="s">
        <v>436</v>
      </c>
      <c r="J150" t="s">
        <v>444</v>
      </c>
      <c r="K150" s="12">
        <v>29.9</v>
      </c>
      <c r="L150" s="14">
        <f ca="1">TRUNC((TODAY()-TabelaBase[[#This Row],[Data Nascimento]])/365)</f>
        <v>30</v>
      </c>
      <c r="M150" s="14" t="str">
        <f ca="1">HLOOKUP(TabelaBase[[#This Row],[Idade]],$O$3:$R$4,2,TRUE)</f>
        <v>24-34</v>
      </c>
    </row>
    <row r="151" spans="2:13" x14ac:dyDescent="0.3">
      <c r="B151" s="11">
        <v>33875188130</v>
      </c>
      <c r="C151" t="s">
        <v>48</v>
      </c>
      <c r="D151" t="s">
        <v>5</v>
      </c>
      <c r="E151" t="s">
        <v>416</v>
      </c>
      <c r="F151" t="s">
        <v>13</v>
      </c>
      <c r="G151" t="s">
        <v>425</v>
      </c>
      <c r="H151" s="1">
        <v>27845</v>
      </c>
      <c r="I151" s="1" t="s">
        <v>436</v>
      </c>
      <c r="J151" t="s">
        <v>445</v>
      </c>
      <c r="K151" s="12">
        <v>35.9</v>
      </c>
      <c r="L151" s="14">
        <f ca="1">TRUNC((TODAY()-TabelaBase[[#This Row],[Data Nascimento]])/365)</f>
        <v>49</v>
      </c>
      <c r="M151" s="14" t="str">
        <f ca="1">HLOOKUP(TabelaBase[[#This Row],[Idade]],$O$3:$R$4,2,TRUE)</f>
        <v>44 - 54</v>
      </c>
    </row>
    <row r="152" spans="2:13" x14ac:dyDescent="0.3">
      <c r="B152" s="11">
        <v>33898601118</v>
      </c>
      <c r="C152" t="s">
        <v>400</v>
      </c>
      <c r="D152" t="s">
        <v>6</v>
      </c>
      <c r="E152" t="s">
        <v>7</v>
      </c>
      <c r="F152" t="s">
        <v>14</v>
      </c>
      <c r="G152" t="s">
        <v>426</v>
      </c>
      <c r="H152" s="1">
        <v>28003</v>
      </c>
      <c r="I152" s="1" t="s">
        <v>436</v>
      </c>
      <c r="J152" t="s">
        <v>444</v>
      </c>
      <c r="K152" s="12">
        <v>29.9</v>
      </c>
      <c r="L152" s="14">
        <f ca="1">TRUNC((TODAY()-TabelaBase[[#This Row],[Data Nascimento]])/365)</f>
        <v>49</v>
      </c>
      <c r="M152" s="14" t="str">
        <f ca="1">HLOOKUP(TabelaBase[[#This Row],[Idade]],$O$3:$R$4,2,TRUE)</f>
        <v>44 - 54</v>
      </c>
    </row>
    <row r="153" spans="2:13" x14ac:dyDescent="0.3">
      <c r="B153" s="11">
        <v>33959101715</v>
      </c>
      <c r="C153" t="s">
        <v>51</v>
      </c>
      <c r="D153" t="s">
        <v>6</v>
      </c>
      <c r="E153" t="s">
        <v>416</v>
      </c>
      <c r="F153" t="s">
        <v>9</v>
      </c>
      <c r="G153" t="s">
        <v>424</v>
      </c>
      <c r="H153" s="1">
        <v>21976</v>
      </c>
      <c r="I153" s="1" t="s">
        <v>436</v>
      </c>
      <c r="J153" t="s">
        <v>446</v>
      </c>
      <c r="K153" s="12">
        <v>9.9</v>
      </c>
      <c r="L153" s="14">
        <f ca="1">TRUNC((TODAY()-TabelaBase[[#This Row],[Data Nascimento]])/365)</f>
        <v>65</v>
      </c>
      <c r="M153" s="14" t="str">
        <f ca="1">HLOOKUP(TabelaBase[[#This Row],[Idade]],$O$3:$R$4,2,TRUE)</f>
        <v>54-70</v>
      </c>
    </row>
    <row r="154" spans="2:13" x14ac:dyDescent="0.3">
      <c r="B154" s="11">
        <v>33969903983</v>
      </c>
      <c r="C154" t="s">
        <v>333</v>
      </c>
      <c r="D154" t="s">
        <v>5</v>
      </c>
      <c r="E154" t="s">
        <v>7</v>
      </c>
      <c r="F154" t="s">
        <v>427</v>
      </c>
      <c r="G154" t="s">
        <v>424</v>
      </c>
      <c r="H154" s="1">
        <v>31798</v>
      </c>
      <c r="I154" s="1" t="s">
        <v>436</v>
      </c>
      <c r="J154" t="s">
        <v>446</v>
      </c>
      <c r="K154" s="12">
        <v>9.9</v>
      </c>
      <c r="L154" s="14">
        <f ca="1">TRUNC((TODAY()-TabelaBase[[#This Row],[Data Nascimento]])/365)</f>
        <v>39</v>
      </c>
      <c r="M154" s="14" t="str">
        <f ca="1">HLOOKUP(TabelaBase[[#This Row],[Idade]],$O$3:$R$4,2,TRUE)</f>
        <v>35 - 44</v>
      </c>
    </row>
    <row r="155" spans="2:13" x14ac:dyDescent="0.3">
      <c r="B155" s="11">
        <v>34020079542</v>
      </c>
      <c r="C155" t="s">
        <v>357</v>
      </c>
      <c r="D155" t="s">
        <v>5</v>
      </c>
      <c r="E155" t="s">
        <v>7</v>
      </c>
      <c r="F155" t="s">
        <v>427</v>
      </c>
      <c r="G155" t="s">
        <v>425</v>
      </c>
      <c r="H155" s="1">
        <v>23326</v>
      </c>
      <c r="I155" s="1" t="s">
        <v>436</v>
      </c>
      <c r="J155" t="s">
        <v>446</v>
      </c>
      <c r="K155" s="12">
        <v>9.9</v>
      </c>
      <c r="L155" s="14">
        <f ca="1">TRUNC((TODAY()-TabelaBase[[#This Row],[Data Nascimento]])/365)</f>
        <v>62</v>
      </c>
      <c r="M155" s="14" t="str">
        <f ca="1">HLOOKUP(TabelaBase[[#This Row],[Idade]],$O$3:$R$4,2,TRUE)</f>
        <v>54-70</v>
      </c>
    </row>
    <row r="156" spans="2:13" x14ac:dyDescent="0.3">
      <c r="B156" s="11">
        <v>34161309302</v>
      </c>
      <c r="C156" t="s">
        <v>137</v>
      </c>
      <c r="D156" t="s">
        <v>6</v>
      </c>
      <c r="E156" t="s">
        <v>7</v>
      </c>
      <c r="F156" t="s">
        <v>427</v>
      </c>
      <c r="G156" t="s">
        <v>425</v>
      </c>
      <c r="H156" s="1">
        <v>34830</v>
      </c>
      <c r="I156" s="1" t="s">
        <v>435</v>
      </c>
      <c r="J156" t="s">
        <v>445</v>
      </c>
      <c r="K156" s="12">
        <v>35.9</v>
      </c>
      <c r="L156" s="14">
        <f ca="1">TRUNC((TODAY()-TabelaBase[[#This Row],[Data Nascimento]])/365)</f>
        <v>30</v>
      </c>
      <c r="M156" s="14" t="str">
        <f ca="1">HLOOKUP(TabelaBase[[#This Row],[Idade]],$O$3:$R$4,2,TRUE)</f>
        <v>24-34</v>
      </c>
    </row>
    <row r="157" spans="2:13" x14ac:dyDescent="0.3">
      <c r="B157" s="11">
        <v>34264176742</v>
      </c>
      <c r="C157" t="s">
        <v>211</v>
      </c>
      <c r="D157" t="s">
        <v>6</v>
      </c>
      <c r="E157" t="s">
        <v>416</v>
      </c>
      <c r="F157" t="s">
        <v>12</v>
      </c>
      <c r="G157" t="s">
        <v>424</v>
      </c>
      <c r="H157" s="1">
        <v>28037</v>
      </c>
      <c r="I157" s="1" t="s">
        <v>433</v>
      </c>
      <c r="J157" t="s">
        <v>446</v>
      </c>
      <c r="K157" s="12">
        <v>9.9</v>
      </c>
      <c r="L157" s="14">
        <f ca="1">TRUNC((TODAY()-TabelaBase[[#This Row],[Data Nascimento]])/365)</f>
        <v>49</v>
      </c>
      <c r="M157" s="14" t="str">
        <f ca="1">HLOOKUP(TabelaBase[[#This Row],[Idade]],$O$3:$R$4,2,TRUE)</f>
        <v>44 - 54</v>
      </c>
    </row>
    <row r="158" spans="2:13" x14ac:dyDescent="0.3">
      <c r="B158" s="11">
        <v>34270622570</v>
      </c>
      <c r="C158" t="s">
        <v>273</v>
      </c>
      <c r="D158" t="s">
        <v>5</v>
      </c>
      <c r="E158" t="s">
        <v>7</v>
      </c>
      <c r="F158" t="s">
        <v>427</v>
      </c>
      <c r="G158" t="s">
        <v>424</v>
      </c>
      <c r="H158" s="1">
        <v>23003</v>
      </c>
      <c r="I158" s="1" t="s">
        <v>433</v>
      </c>
      <c r="J158" t="s">
        <v>446</v>
      </c>
      <c r="K158" s="12">
        <v>9.9</v>
      </c>
      <c r="L158" s="14">
        <f ca="1">TRUNC((TODAY()-TabelaBase[[#This Row],[Data Nascimento]])/365)</f>
        <v>63</v>
      </c>
      <c r="M158" s="14" t="str">
        <f ca="1">HLOOKUP(TabelaBase[[#This Row],[Idade]],$O$3:$R$4,2,TRUE)</f>
        <v>54-70</v>
      </c>
    </row>
    <row r="159" spans="2:13" x14ac:dyDescent="0.3">
      <c r="B159" s="11">
        <v>34275755986</v>
      </c>
      <c r="C159" t="s">
        <v>341</v>
      </c>
      <c r="D159" t="s">
        <v>5</v>
      </c>
      <c r="E159" t="s">
        <v>417</v>
      </c>
      <c r="F159" t="s">
        <v>427</v>
      </c>
      <c r="G159" t="s">
        <v>425</v>
      </c>
      <c r="H159" s="1">
        <v>28273</v>
      </c>
      <c r="I159" s="1" t="s">
        <v>433</v>
      </c>
      <c r="J159" t="s">
        <v>445</v>
      </c>
      <c r="K159" s="12">
        <v>35.9</v>
      </c>
      <c r="L159" s="14">
        <f ca="1">TRUNC((TODAY()-TabelaBase[[#This Row],[Data Nascimento]])/365)</f>
        <v>48</v>
      </c>
      <c r="M159" s="14" t="str">
        <f ca="1">HLOOKUP(TabelaBase[[#This Row],[Idade]],$O$3:$R$4,2,TRUE)</f>
        <v>44 - 54</v>
      </c>
    </row>
    <row r="160" spans="2:13" x14ac:dyDescent="0.3">
      <c r="B160" s="11">
        <v>34289791783</v>
      </c>
      <c r="C160" t="s">
        <v>389</v>
      </c>
      <c r="D160" t="s">
        <v>6</v>
      </c>
      <c r="E160" t="s">
        <v>8</v>
      </c>
      <c r="F160" t="s">
        <v>427</v>
      </c>
      <c r="G160" t="s">
        <v>426</v>
      </c>
      <c r="H160" s="1">
        <v>25886</v>
      </c>
      <c r="I160" s="1" t="s">
        <v>433</v>
      </c>
      <c r="J160" t="s">
        <v>445</v>
      </c>
      <c r="K160" s="12">
        <v>35.9</v>
      </c>
      <c r="L160" s="14">
        <f ca="1">TRUNC((TODAY()-TabelaBase[[#This Row],[Data Nascimento]])/365)</f>
        <v>55</v>
      </c>
      <c r="M160" s="14" t="str">
        <f ca="1">HLOOKUP(TabelaBase[[#This Row],[Idade]],$O$3:$R$4,2,TRUE)</f>
        <v>54-70</v>
      </c>
    </row>
    <row r="161" spans="2:13" x14ac:dyDescent="0.3">
      <c r="B161" s="11">
        <v>34323519769</v>
      </c>
      <c r="C161" t="s">
        <v>252</v>
      </c>
      <c r="D161" t="s">
        <v>6</v>
      </c>
      <c r="E161" t="s">
        <v>8</v>
      </c>
      <c r="F161" t="s">
        <v>13</v>
      </c>
      <c r="G161" t="s">
        <v>425</v>
      </c>
      <c r="H161" s="1">
        <v>22110</v>
      </c>
      <c r="I161" s="1" t="s">
        <v>433</v>
      </c>
      <c r="J161" t="s">
        <v>446</v>
      </c>
      <c r="K161" s="12">
        <v>9.9</v>
      </c>
      <c r="L161" s="14">
        <f ca="1">TRUNC((TODAY()-TabelaBase[[#This Row],[Data Nascimento]])/365)</f>
        <v>65</v>
      </c>
      <c r="M161" s="14" t="str">
        <f ca="1">HLOOKUP(TabelaBase[[#This Row],[Idade]],$O$3:$R$4,2,TRUE)</f>
        <v>54-70</v>
      </c>
    </row>
    <row r="162" spans="2:13" x14ac:dyDescent="0.3">
      <c r="B162" s="11">
        <v>34327422259</v>
      </c>
      <c r="C162" t="s">
        <v>355</v>
      </c>
      <c r="D162" t="s">
        <v>5</v>
      </c>
      <c r="E162" t="s">
        <v>417</v>
      </c>
      <c r="F162" t="s">
        <v>12</v>
      </c>
      <c r="G162" t="s">
        <v>425</v>
      </c>
      <c r="H162" s="1">
        <v>30247</v>
      </c>
      <c r="I162" s="1" t="s">
        <v>430</v>
      </c>
      <c r="J162" t="s">
        <v>446</v>
      </c>
      <c r="K162" s="12">
        <v>9.9</v>
      </c>
      <c r="L162" s="14">
        <f ca="1">TRUNC((TODAY()-TabelaBase[[#This Row],[Data Nascimento]])/365)</f>
        <v>43</v>
      </c>
      <c r="M162" s="14" t="str">
        <f ca="1">HLOOKUP(TabelaBase[[#This Row],[Idade]],$O$3:$R$4,2,TRUE)</f>
        <v>35 - 44</v>
      </c>
    </row>
    <row r="163" spans="2:13" x14ac:dyDescent="0.3">
      <c r="B163" s="11">
        <v>34473182713</v>
      </c>
      <c r="C163" t="s">
        <v>190</v>
      </c>
      <c r="D163" t="s">
        <v>5</v>
      </c>
      <c r="E163" t="s">
        <v>7</v>
      </c>
      <c r="F163" t="s">
        <v>427</v>
      </c>
      <c r="G163" t="s">
        <v>426</v>
      </c>
      <c r="H163" s="1">
        <v>32369</v>
      </c>
      <c r="I163" s="1" t="s">
        <v>429</v>
      </c>
      <c r="J163" t="s">
        <v>444</v>
      </c>
      <c r="K163" s="12">
        <v>29.9</v>
      </c>
      <c r="L163" s="14">
        <f ca="1">TRUNC((TODAY()-TabelaBase[[#This Row],[Data Nascimento]])/365)</f>
        <v>37</v>
      </c>
      <c r="M163" s="14" t="str">
        <f ca="1">HLOOKUP(TabelaBase[[#This Row],[Idade]],$O$3:$R$4,2,TRUE)</f>
        <v>35 - 44</v>
      </c>
    </row>
    <row r="164" spans="2:13" x14ac:dyDescent="0.3">
      <c r="B164" s="11">
        <v>34488046494</v>
      </c>
      <c r="C164" t="s">
        <v>326</v>
      </c>
      <c r="D164" t="s">
        <v>6</v>
      </c>
      <c r="E164" t="s">
        <v>417</v>
      </c>
      <c r="F164" t="s">
        <v>13</v>
      </c>
      <c r="G164" t="s">
        <v>426</v>
      </c>
      <c r="H164" s="1">
        <v>32278</v>
      </c>
      <c r="I164" s="1" t="s">
        <v>431</v>
      </c>
      <c r="J164" t="s">
        <v>446</v>
      </c>
      <c r="K164" s="12">
        <v>9.9</v>
      </c>
      <c r="L164" s="14">
        <f ca="1">TRUNC((TODAY()-TabelaBase[[#This Row],[Data Nascimento]])/365)</f>
        <v>37</v>
      </c>
      <c r="M164" s="14" t="str">
        <f ca="1">HLOOKUP(TabelaBase[[#This Row],[Idade]],$O$3:$R$4,2,TRUE)</f>
        <v>35 - 44</v>
      </c>
    </row>
    <row r="165" spans="2:13" x14ac:dyDescent="0.3">
      <c r="B165" s="11">
        <v>34501445196</v>
      </c>
      <c r="C165" t="s">
        <v>363</v>
      </c>
      <c r="D165" t="s">
        <v>5</v>
      </c>
      <c r="E165" t="s">
        <v>7</v>
      </c>
      <c r="F165" t="s">
        <v>9</v>
      </c>
      <c r="G165" t="s">
        <v>424</v>
      </c>
      <c r="H165" s="1">
        <v>27167</v>
      </c>
      <c r="I165" s="1" t="s">
        <v>432</v>
      </c>
      <c r="J165" t="s">
        <v>446</v>
      </c>
      <c r="K165" s="12">
        <v>9.9</v>
      </c>
      <c r="L165" s="14">
        <f ca="1">TRUNC((TODAY()-TabelaBase[[#This Row],[Data Nascimento]])/365)</f>
        <v>51</v>
      </c>
      <c r="M165" s="14" t="str">
        <f ca="1">HLOOKUP(TabelaBase[[#This Row],[Idade]],$O$3:$R$4,2,TRUE)</f>
        <v>44 - 54</v>
      </c>
    </row>
    <row r="166" spans="2:13" x14ac:dyDescent="0.3">
      <c r="B166" s="11">
        <v>34597516064</v>
      </c>
      <c r="C166" t="s">
        <v>113</v>
      </c>
      <c r="D166" t="s">
        <v>5</v>
      </c>
      <c r="E166" t="s">
        <v>7</v>
      </c>
      <c r="F166" t="s">
        <v>427</v>
      </c>
      <c r="G166" t="s">
        <v>424</v>
      </c>
      <c r="H166" s="1">
        <v>34698</v>
      </c>
      <c r="I166" s="1" t="s">
        <v>434</v>
      </c>
      <c r="J166" t="s">
        <v>445</v>
      </c>
      <c r="K166" s="12">
        <v>35.9</v>
      </c>
      <c r="L166" s="14">
        <f ca="1">TRUNC((TODAY()-TabelaBase[[#This Row],[Data Nascimento]])/365)</f>
        <v>31</v>
      </c>
      <c r="M166" s="14" t="str">
        <f ca="1">HLOOKUP(TabelaBase[[#This Row],[Idade]],$O$3:$R$4,2,TRUE)</f>
        <v>24-34</v>
      </c>
    </row>
    <row r="167" spans="2:13" x14ac:dyDescent="0.3">
      <c r="B167" s="11">
        <v>34687761738</v>
      </c>
      <c r="C167" t="s">
        <v>383</v>
      </c>
      <c r="D167" t="s">
        <v>6</v>
      </c>
      <c r="E167" t="s">
        <v>7</v>
      </c>
      <c r="F167" t="s">
        <v>427</v>
      </c>
      <c r="G167" t="s">
        <v>425</v>
      </c>
      <c r="H167" s="1">
        <v>28678</v>
      </c>
      <c r="I167" s="1" t="s">
        <v>430</v>
      </c>
      <c r="J167" t="s">
        <v>444</v>
      </c>
      <c r="K167" s="12">
        <v>29.9</v>
      </c>
      <c r="L167" s="14">
        <f ca="1">TRUNC((TODAY()-TabelaBase[[#This Row],[Data Nascimento]])/365)</f>
        <v>47</v>
      </c>
      <c r="M167" s="14" t="str">
        <f ca="1">HLOOKUP(TabelaBase[[#This Row],[Idade]],$O$3:$R$4,2,TRUE)</f>
        <v>44 - 54</v>
      </c>
    </row>
    <row r="168" spans="2:13" x14ac:dyDescent="0.3">
      <c r="B168" s="11">
        <v>34823329746</v>
      </c>
      <c r="C168" t="s">
        <v>390</v>
      </c>
      <c r="D168" t="s">
        <v>5</v>
      </c>
      <c r="E168" t="s">
        <v>7</v>
      </c>
      <c r="F168" t="s">
        <v>11</v>
      </c>
      <c r="G168" t="s">
        <v>426</v>
      </c>
      <c r="H168" s="1">
        <v>31195</v>
      </c>
      <c r="I168" s="1" t="s">
        <v>435</v>
      </c>
      <c r="J168" t="s">
        <v>447</v>
      </c>
      <c r="K168" s="12">
        <v>79.900000000000006</v>
      </c>
      <c r="L168" s="14">
        <f ca="1">TRUNC((TODAY()-TabelaBase[[#This Row],[Data Nascimento]])/365)</f>
        <v>40</v>
      </c>
      <c r="M168" s="14" t="str">
        <f ca="1">HLOOKUP(TabelaBase[[#This Row],[Idade]],$O$3:$R$4,2,TRUE)</f>
        <v>35 - 44</v>
      </c>
    </row>
    <row r="169" spans="2:13" x14ac:dyDescent="0.3">
      <c r="B169" s="11">
        <v>34871980724</v>
      </c>
      <c r="C169" t="s">
        <v>200</v>
      </c>
      <c r="D169" t="s">
        <v>5</v>
      </c>
      <c r="E169" t="s">
        <v>7</v>
      </c>
      <c r="F169" t="s">
        <v>13</v>
      </c>
      <c r="G169" t="s">
        <v>426</v>
      </c>
      <c r="H169" s="1">
        <v>30093</v>
      </c>
      <c r="I169" s="1" t="s">
        <v>436</v>
      </c>
      <c r="J169" t="s">
        <v>444</v>
      </c>
      <c r="K169" s="12">
        <v>29.9</v>
      </c>
      <c r="L169" s="14">
        <f ca="1">TRUNC((TODAY()-TabelaBase[[#This Row],[Data Nascimento]])/365)</f>
        <v>43</v>
      </c>
      <c r="M169" s="14" t="str">
        <f ca="1">HLOOKUP(TabelaBase[[#This Row],[Idade]],$O$3:$R$4,2,TRUE)</f>
        <v>35 - 44</v>
      </c>
    </row>
    <row r="170" spans="2:13" x14ac:dyDescent="0.3">
      <c r="B170" s="11">
        <v>34970941895</v>
      </c>
      <c r="C170" t="s">
        <v>244</v>
      </c>
      <c r="D170" t="s">
        <v>6</v>
      </c>
      <c r="E170" t="s">
        <v>418</v>
      </c>
      <c r="F170" t="s">
        <v>14</v>
      </c>
      <c r="G170" t="s">
        <v>425</v>
      </c>
      <c r="H170" s="1">
        <v>25721</v>
      </c>
      <c r="I170" s="1" t="s">
        <v>430</v>
      </c>
      <c r="J170" t="s">
        <v>444</v>
      </c>
      <c r="K170" s="12">
        <v>29.9</v>
      </c>
      <c r="L170" s="14">
        <f ca="1">TRUNC((TODAY()-TabelaBase[[#This Row],[Data Nascimento]])/365)</f>
        <v>55</v>
      </c>
      <c r="M170" s="14" t="str">
        <f ca="1">HLOOKUP(TabelaBase[[#This Row],[Idade]],$O$3:$R$4,2,TRUE)</f>
        <v>54-70</v>
      </c>
    </row>
    <row r="171" spans="2:13" x14ac:dyDescent="0.3">
      <c r="B171" s="11">
        <v>35090452105</v>
      </c>
      <c r="C171" t="s">
        <v>27</v>
      </c>
      <c r="D171" t="s">
        <v>6</v>
      </c>
      <c r="E171" t="s">
        <v>7</v>
      </c>
      <c r="F171" t="s">
        <v>9</v>
      </c>
      <c r="G171" t="s">
        <v>425</v>
      </c>
      <c r="H171" s="1">
        <v>23517</v>
      </c>
      <c r="I171" s="1" t="s">
        <v>435</v>
      </c>
      <c r="J171" t="s">
        <v>446</v>
      </c>
      <c r="K171" s="12">
        <v>9.9</v>
      </c>
      <c r="L171" s="14">
        <f ca="1">TRUNC((TODAY()-TabelaBase[[#This Row],[Data Nascimento]])/365)</f>
        <v>61</v>
      </c>
      <c r="M171" s="14" t="str">
        <f ca="1">HLOOKUP(TabelaBase[[#This Row],[Idade]],$O$3:$R$4,2,TRUE)</f>
        <v>54-70</v>
      </c>
    </row>
    <row r="172" spans="2:13" x14ac:dyDescent="0.3">
      <c r="B172" s="11">
        <v>35105004714</v>
      </c>
      <c r="C172" t="s">
        <v>311</v>
      </c>
      <c r="D172" t="s">
        <v>5</v>
      </c>
      <c r="E172" t="s">
        <v>417</v>
      </c>
      <c r="F172" t="s">
        <v>427</v>
      </c>
      <c r="G172" t="s">
        <v>424</v>
      </c>
      <c r="H172" s="1">
        <v>33256</v>
      </c>
      <c r="I172" s="1" t="s">
        <v>436</v>
      </c>
      <c r="J172" t="s">
        <v>444</v>
      </c>
      <c r="K172" s="12">
        <v>29.9</v>
      </c>
      <c r="L172" s="14">
        <f ca="1">TRUNC((TODAY()-TabelaBase[[#This Row],[Data Nascimento]])/365)</f>
        <v>35</v>
      </c>
      <c r="M172" s="14" t="str">
        <f ca="1">HLOOKUP(TabelaBase[[#This Row],[Idade]],$O$3:$R$4,2,TRUE)</f>
        <v>35 - 44</v>
      </c>
    </row>
    <row r="173" spans="2:13" x14ac:dyDescent="0.3">
      <c r="B173" s="11">
        <v>35121899842</v>
      </c>
      <c r="C173" t="s">
        <v>215</v>
      </c>
      <c r="D173" t="s">
        <v>6</v>
      </c>
      <c r="E173" t="s">
        <v>417</v>
      </c>
      <c r="F173" t="s">
        <v>427</v>
      </c>
      <c r="G173" t="s">
        <v>425</v>
      </c>
      <c r="H173" s="1">
        <v>30252</v>
      </c>
      <c r="I173" s="1" t="s">
        <v>433</v>
      </c>
      <c r="J173" t="s">
        <v>444</v>
      </c>
      <c r="K173" s="12">
        <v>29.9</v>
      </c>
      <c r="L173" s="14">
        <f ca="1">TRUNC((TODAY()-TabelaBase[[#This Row],[Data Nascimento]])/365)</f>
        <v>43</v>
      </c>
      <c r="M173" s="14" t="str">
        <f ca="1">HLOOKUP(TabelaBase[[#This Row],[Idade]],$O$3:$R$4,2,TRUE)</f>
        <v>35 - 44</v>
      </c>
    </row>
    <row r="174" spans="2:13" x14ac:dyDescent="0.3">
      <c r="B174" s="11">
        <v>35170686850</v>
      </c>
      <c r="C174" t="s">
        <v>69</v>
      </c>
      <c r="D174" t="s">
        <v>6</v>
      </c>
      <c r="E174" t="s">
        <v>8</v>
      </c>
      <c r="F174" t="s">
        <v>427</v>
      </c>
      <c r="G174" t="s">
        <v>426</v>
      </c>
      <c r="H174" s="1">
        <v>29180</v>
      </c>
      <c r="I174" s="1" t="s">
        <v>433</v>
      </c>
      <c r="J174" t="s">
        <v>446</v>
      </c>
      <c r="K174" s="12">
        <v>9.9</v>
      </c>
      <c r="L174" s="14">
        <f ca="1">TRUNC((TODAY()-TabelaBase[[#This Row],[Data Nascimento]])/365)</f>
        <v>46</v>
      </c>
      <c r="M174" s="14" t="str">
        <f ca="1">HLOOKUP(TabelaBase[[#This Row],[Idade]],$O$3:$R$4,2,TRUE)</f>
        <v>44 - 54</v>
      </c>
    </row>
    <row r="175" spans="2:13" x14ac:dyDescent="0.3">
      <c r="B175" s="11">
        <v>35176580107</v>
      </c>
      <c r="C175" t="s">
        <v>202</v>
      </c>
      <c r="D175" t="s">
        <v>5</v>
      </c>
      <c r="E175" t="s">
        <v>8</v>
      </c>
      <c r="F175" t="s">
        <v>14</v>
      </c>
      <c r="G175" t="s">
        <v>424</v>
      </c>
      <c r="H175" s="1">
        <v>24724</v>
      </c>
      <c r="I175" s="1" t="s">
        <v>433</v>
      </c>
      <c r="J175" t="s">
        <v>444</v>
      </c>
      <c r="K175" s="12">
        <v>29.9</v>
      </c>
      <c r="L175" s="14">
        <f ca="1">TRUNC((TODAY()-TabelaBase[[#This Row],[Data Nascimento]])/365)</f>
        <v>58</v>
      </c>
      <c r="M175" s="14" t="str">
        <f ca="1">HLOOKUP(TabelaBase[[#This Row],[Idade]],$O$3:$R$4,2,TRUE)</f>
        <v>54-70</v>
      </c>
    </row>
    <row r="176" spans="2:13" x14ac:dyDescent="0.3">
      <c r="B176" s="11">
        <v>35197147629</v>
      </c>
      <c r="C176" t="s">
        <v>80</v>
      </c>
      <c r="D176" t="s">
        <v>5</v>
      </c>
      <c r="E176" t="s">
        <v>7</v>
      </c>
      <c r="F176" t="s">
        <v>13</v>
      </c>
      <c r="G176" t="s">
        <v>426</v>
      </c>
      <c r="H176" s="1">
        <v>25948</v>
      </c>
      <c r="I176" s="1" t="s">
        <v>433</v>
      </c>
      <c r="J176" t="s">
        <v>444</v>
      </c>
      <c r="K176" s="12">
        <v>29.9</v>
      </c>
      <c r="L176" s="14">
        <f ca="1">TRUNC((TODAY()-TabelaBase[[#This Row],[Data Nascimento]])/365)</f>
        <v>55</v>
      </c>
      <c r="M176" s="14" t="str">
        <f ca="1">HLOOKUP(TabelaBase[[#This Row],[Idade]],$O$3:$R$4,2,TRUE)</f>
        <v>54-70</v>
      </c>
    </row>
    <row r="177" spans="2:13" x14ac:dyDescent="0.3">
      <c r="B177" s="11">
        <v>35417799912</v>
      </c>
      <c r="C177" t="s">
        <v>208</v>
      </c>
      <c r="D177" t="s">
        <v>6</v>
      </c>
      <c r="E177" t="s">
        <v>416</v>
      </c>
      <c r="F177" t="s">
        <v>14</v>
      </c>
      <c r="G177" t="s">
        <v>425</v>
      </c>
      <c r="H177" s="1">
        <v>23216</v>
      </c>
      <c r="I177" s="1" t="s">
        <v>433</v>
      </c>
      <c r="J177" t="s">
        <v>444</v>
      </c>
      <c r="K177" s="12">
        <v>29.9</v>
      </c>
      <c r="L177" s="14">
        <f ca="1">TRUNC((TODAY()-TabelaBase[[#This Row],[Data Nascimento]])/365)</f>
        <v>62</v>
      </c>
      <c r="M177" s="14" t="str">
        <f ca="1">HLOOKUP(TabelaBase[[#This Row],[Idade]],$O$3:$R$4,2,TRUE)</f>
        <v>54-70</v>
      </c>
    </row>
    <row r="178" spans="2:13" x14ac:dyDescent="0.3">
      <c r="B178" s="11">
        <v>35423777466</v>
      </c>
      <c r="C178" t="s">
        <v>164</v>
      </c>
      <c r="D178" t="s">
        <v>5</v>
      </c>
      <c r="E178" t="s">
        <v>418</v>
      </c>
      <c r="F178" t="s">
        <v>13</v>
      </c>
      <c r="G178" t="s">
        <v>425</v>
      </c>
      <c r="H178" s="1">
        <v>29889</v>
      </c>
      <c r="I178" s="1" t="s">
        <v>433</v>
      </c>
      <c r="J178" t="s">
        <v>446</v>
      </c>
      <c r="K178" s="12">
        <v>9.9</v>
      </c>
      <c r="L178" s="14">
        <f ca="1">TRUNC((TODAY()-TabelaBase[[#This Row],[Data Nascimento]])/365)</f>
        <v>44</v>
      </c>
      <c r="M178" s="14" t="str">
        <f ca="1">HLOOKUP(TabelaBase[[#This Row],[Idade]],$O$3:$R$4,2,TRUE)</f>
        <v>44 - 54</v>
      </c>
    </row>
    <row r="179" spans="2:13" x14ac:dyDescent="0.3">
      <c r="B179" s="11">
        <v>35462568122</v>
      </c>
      <c r="C179" t="s">
        <v>114</v>
      </c>
      <c r="D179" t="s">
        <v>5</v>
      </c>
      <c r="E179" t="s">
        <v>417</v>
      </c>
      <c r="F179" t="s">
        <v>11</v>
      </c>
      <c r="G179" t="s">
        <v>425</v>
      </c>
      <c r="H179" s="1">
        <v>28993</v>
      </c>
      <c r="I179" s="1" t="s">
        <v>433</v>
      </c>
      <c r="J179" t="s">
        <v>447</v>
      </c>
      <c r="K179" s="12">
        <v>79.900000000000006</v>
      </c>
      <c r="L179" s="14">
        <f ca="1">TRUNC((TODAY()-TabelaBase[[#This Row],[Data Nascimento]])/365)</f>
        <v>46</v>
      </c>
      <c r="M179" s="14" t="str">
        <f ca="1">HLOOKUP(TabelaBase[[#This Row],[Idade]],$O$3:$R$4,2,TRUE)</f>
        <v>44 - 54</v>
      </c>
    </row>
    <row r="180" spans="2:13" x14ac:dyDescent="0.3">
      <c r="B180" s="11">
        <v>35465159917</v>
      </c>
      <c r="C180" t="s">
        <v>321</v>
      </c>
      <c r="D180" t="s">
        <v>5</v>
      </c>
      <c r="E180" t="s">
        <v>417</v>
      </c>
      <c r="F180" t="s">
        <v>427</v>
      </c>
      <c r="G180" t="s">
        <v>425</v>
      </c>
      <c r="H180" s="1">
        <v>31916</v>
      </c>
      <c r="I180" s="1" t="s">
        <v>433</v>
      </c>
      <c r="J180" t="s">
        <v>446</v>
      </c>
      <c r="K180" s="12">
        <v>9.9</v>
      </c>
      <c r="L180" s="14">
        <f ca="1">TRUNC((TODAY()-TabelaBase[[#This Row],[Data Nascimento]])/365)</f>
        <v>38</v>
      </c>
      <c r="M180" s="14" t="str">
        <f ca="1">HLOOKUP(TabelaBase[[#This Row],[Idade]],$O$3:$R$4,2,TRUE)</f>
        <v>35 - 44</v>
      </c>
    </row>
    <row r="181" spans="2:13" x14ac:dyDescent="0.3">
      <c r="B181" s="11">
        <v>35527656936</v>
      </c>
      <c r="C181" t="s">
        <v>310</v>
      </c>
      <c r="D181" t="s">
        <v>6</v>
      </c>
      <c r="E181" t="s">
        <v>7</v>
      </c>
      <c r="F181" t="s">
        <v>427</v>
      </c>
      <c r="G181" t="s">
        <v>426</v>
      </c>
      <c r="H181" s="1">
        <v>34788</v>
      </c>
      <c r="I181" s="1" t="s">
        <v>433</v>
      </c>
      <c r="J181" t="s">
        <v>444</v>
      </c>
      <c r="K181" s="12">
        <v>29.9</v>
      </c>
      <c r="L181" s="14">
        <f ca="1">TRUNC((TODAY()-TabelaBase[[#This Row],[Data Nascimento]])/365)</f>
        <v>30</v>
      </c>
      <c r="M181" s="14" t="str">
        <f ca="1">HLOOKUP(TabelaBase[[#This Row],[Idade]],$O$3:$R$4,2,TRUE)</f>
        <v>24-34</v>
      </c>
    </row>
    <row r="182" spans="2:13" x14ac:dyDescent="0.3">
      <c r="B182" s="11">
        <v>35548890934</v>
      </c>
      <c r="C182" t="s">
        <v>406</v>
      </c>
      <c r="D182" t="s">
        <v>5</v>
      </c>
      <c r="E182" t="s">
        <v>417</v>
      </c>
      <c r="F182" t="s">
        <v>427</v>
      </c>
      <c r="G182" t="s">
        <v>426</v>
      </c>
      <c r="H182" s="1">
        <v>32232</v>
      </c>
      <c r="I182" s="1" t="s">
        <v>429</v>
      </c>
      <c r="J182" t="s">
        <v>444</v>
      </c>
      <c r="K182" s="12">
        <v>29.9</v>
      </c>
      <c r="L182" s="14">
        <f ca="1">TRUNC((TODAY()-TabelaBase[[#This Row],[Data Nascimento]])/365)</f>
        <v>37</v>
      </c>
      <c r="M182" s="14" t="str">
        <f ca="1">HLOOKUP(TabelaBase[[#This Row],[Idade]],$O$3:$R$4,2,TRUE)</f>
        <v>35 - 44</v>
      </c>
    </row>
    <row r="183" spans="2:13" x14ac:dyDescent="0.3">
      <c r="B183" s="11">
        <v>35746258274</v>
      </c>
      <c r="C183" t="s">
        <v>190</v>
      </c>
      <c r="D183" t="s">
        <v>5</v>
      </c>
      <c r="E183" t="s">
        <v>7</v>
      </c>
      <c r="F183" t="s">
        <v>427</v>
      </c>
      <c r="G183" t="s">
        <v>426</v>
      </c>
      <c r="H183" s="1">
        <v>20176</v>
      </c>
      <c r="I183" s="1" t="s">
        <v>432</v>
      </c>
      <c r="J183" t="s">
        <v>444</v>
      </c>
      <c r="K183" s="12">
        <v>29.9</v>
      </c>
      <c r="L183" s="14">
        <f ca="1">TRUNC((TODAY()-TabelaBase[[#This Row],[Data Nascimento]])/365)</f>
        <v>70</v>
      </c>
      <c r="M183" s="14" t="str">
        <f ca="1">HLOOKUP(TabelaBase[[#This Row],[Idade]],$O$3:$R$4,2,TRUE)</f>
        <v>54-70</v>
      </c>
    </row>
    <row r="184" spans="2:13" x14ac:dyDescent="0.3">
      <c r="B184" s="11">
        <v>35783183279</v>
      </c>
      <c r="C184" t="s">
        <v>285</v>
      </c>
      <c r="D184" t="s">
        <v>5</v>
      </c>
      <c r="E184" t="s">
        <v>7</v>
      </c>
      <c r="F184" t="s">
        <v>427</v>
      </c>
      <c r="G184" t="s">
        <v>425</v>
      </c>
      <c r="H184" s="1">
        <v>23239</v>
      </c>
      <c r="I184" s="1" t="s">
        <v>436</v>
      </c>
      <c r="J184" t="s">
        <v>446</v>
      </c>
      <c r="K184" s="12">
        <v>9.9</v>
      </c>
      <c r="L184" s="14">
        <f ca="1">TRUNC((TODAY()-TabelaBase[[#This Row],[Data Nascimento]])/365)</f>
        <v>62</v>
      </c>
      <c r="M184" s="14" t="str">
        <f ca="1">HLOOKUP(TabelaBase[[#This Row],[Idade]],$O$3:$R$4,2,TRUE)</f>
        <v>54-70</v>
      </c>
    </row>
    <row r="185" spans="2:13" x14ac:dyDescent="0.3">
      <c r="B185" s="11">
        <v>35825297492</v>
      </c>
      <c r="C185" t="s">
        <v>252</v>
      </c>
      <c r="D185" t="s">
        <v>6</v>
      </c>
      <c r="E185" t="s">
        <v>8</v>
      </c>
      <c r="F185" t="s">
        <v>13</v>
      </c>
      <c r="G185" t="s">
        <v>425</v>
      </c>
      <c r="H185" s="1">
        <v>29029</v>
      </c>
      <c r="I185" s="1" t="s">
        <v>436</v>
      </c>
      <c r="J185" t="s">
        <v>446</v>
      </c>
      <c r="K185" s="12">
        <v>9.9</v>
      </c>
      <c r="L185" s="14">
        <f ca="1">TRUNC((TODAY()-TabelaBase[[#This Row],[Data Nascimento]])/365)</f>
        <v>46</v>
      </c>
      <c r="M185" s="14" t="str">
        <f ca="1">HLOOKUP(TabelaBase[[#This Row],[Idade]],$O$3:$R$4,2,TRUE)</f>
        <v>44 - 54</v>
      </c>
    </row>
    <row r="186" spans="2:13" x14ac:dyDescent="0.3">
      <c r="B186" s="11">
        <v>35897348847</v>
      </c>
      <c r="C186" t="s">
        <v>396</v>
      </c>
      <c r="D186" t="s">
        <v>5</v>
      </c>
      <c r="E186" t="s">
        <v>7</v>
      </c>
      <c r="F186" t="s">
        <v>13</v>
      </c>
      <c r="G186" t="s">
        <v>426</v>
      </c>
      <c r="H186" s="1">
        <v>20146</v>
      </c>
      <c r="I186" s="1" t="s">
        <v>436</v>
      </c>
      <c r="J186" t="s">
        <v>446</v>
      </c>
      <c r="K186" s="12">
        <v>9.9</v>
      </c>
      <c r="L186" s="14">
        <f ca="1">TRUNC((TODAY()-TabelaBase[[#This Row],[Data Nascimento]])/365)</f>
        <v>70</v>
      </c>
      <c r="M186" s="14" t="str">
        <f ca="1">HLOOKUP(TabelaBase[[#This Row],[Idade]],$O$3:$R$4,2,TRUE)</f>
        <v>54-70</v>
      </c>
    </row>
    <row r="187" spans="2:13" x14ac:dyDescent="0.3">
      <c r="B187" s="11">
        <v>35961398099</v>
      </c>
      <c r="C187" t="s">
        <v>270</v>
      </c>
      <c r="D187" t="s">
        <v>6</v>
      </c>
      <c r="E187" t="s">
        <v>7</v>
      </c>
      <c r="F187" t="s">
        <v>11</v>
      </c>
      <c r="G187" t="s">
        <v>426</v>
      </c>
      <c r="H187" s="1">
        <v>28851</v>
      </c>
      <c r="I187" s="1" t="s">
        <v>436</v>
      </c>
      <c r="J187" t="s">
        <v>447</v>
      </c>
      <c r="K187" s="12">
        <v>79.900000000000006</v>
      </c>
      <c r="L187" s="14">
        <f ca="1">TRUNC((TODAY()-TabelaBase[[#This Row],[Data Nascimento]])/365)</f>
        <v>47</v>
      </c>
      <c r="M187" s="14" t="str">
        <f ca="1">HLOOKUP(TabelaBase[[#This Row],[Idade]],$O$3:$R$4,2,TRUE)</f>
        <v>44 - 54</v>
      </c>
    </row>
    <row r="188" spans="2:13" x14ac:dyDescent="0.3">
      <c r="B188" s="11">
        <v>36049081781</v>
      </c>
      <c r="C188" t="s">
        <v>305</v>
      </c>
      <c r="D188" t="s">
        <v>6</v>
      </c>
      <c r="E188" t="s">
        <v>7</v>
      </c>
      <c r="F188" t="s">
        <v>427</v>
      </c>
      <c r="G188" t="s">
        <v>425</v>
      </c>
      <c r="H188" s="1">
        <v>30194</v>
      </c>
      <c r="I188" s="1" t="s">
        <v>436</v>
      </c>
      <c r="J188" t="s">
        <v>445</v>
      </c>
      <c r="K188" s="12">
        <v>35.9</v>
      </c>
      <c r="L188" s="14">
        <f ca="1">TRUNC((TODAY()-TabelaBase[[#This Row],[Data Nascimento]])/365)</f>
        <v>43</v>
      </c>
      <c r="M188" s="14" t="str">
        <f ca="1">HLOOKUP(TabelaBase[[#This Row],[Idade]],$O$3:$R$4,2,TRUE)</f>
        <v>35 - 44</v>
      </c>
    </row>
    <row r="189" spans="2:13" x14ac:dyDescent="0.3">
      <c r="B189" s="11">
        <v>36224475305</v>
      </c>
      <c r="C189" t="s">
        <v>111</v>
      </c>
      <c r="D189" t="s">
        <v>5</v>
      </c>
      <c r="E189" t="s">
        <v>417</v>
      </c>
      <c r="F189" t="s">
        <v>9</v>
      </c>
      <c r="G189" t="s">
        <v>424</v>
      </c>
      <c r="H189" s="1">
        <v>28183</v>
      </c>
      <c r="I189" s="1" t="s">
        <v>436</v>
      </c>
      <c r="J189" t="s">
        <v>446</v>
      </c>
      <c r="K189" s="12">
        <v>9.9</v>
      </c>
      <c r="L189" s="14">
        <f ca="1">TRUNC((TODAY()-TabelaBase[[#This Row],[Data Nascimento]])/365)</f>
        <v>48</v>
      </c>
      <c r="M189" s="14" t="str">
        <f ca="1">HLOOKUP(TabelaBase[[#This Row],[Idade]],$O$3:$R$4,2,TRUE)</f>
        <v>44 - 54</v>
      </c>
    </row>
    <row r="190" spans="2:13" x14ac:dyDescent="0.3">
      <c r="B190" s="11">
        <v>36291746435</v>
      </c>
      <c r="C190" t="s">
        <v>286</v>
      </c>
      <c r="D190" t="s">
        <v>6</v>
      </c>
      <c r="E190" t="s">
        <v>417</v>
      </c>
      <c r="F190" t="s">
        <v>427</v>
      </c>
      <c r="G190" t="s">
        <v>426</v>
      </c>
      <c r="H190" s="1">
        <v>36045</v>
      </c>
      <c r="I190" s="1" t="s">
        <v>435</v>
      </c>
      <c r="J190" t="s">
        <v>444</v>
      </c>
      <c r="K190" s="12">
        <v>29.9</v>
      </c>
      <c r="L190" s="14">
        <f ca="1">TRUNC((TODAY()-TabelaBase[[#This Row],[Data Nascimento]])/365)</f>
        <v>27</v>
      </c>
      <c r="M190" s="14" t="str">
        <f ca="1">HLOOKUP(TabelaBase[[#This Row],[Idade]],$O$3:$R$4,2,TRUE)</f>
        <v>24-34</v>
      </c>
    </row>
    <row r="191" spans="2:13" x14ac:dyDescent="0.3">
      <c r="B191" s="11">
        <v>36396081744</v>
      </c>
      <c r="C191" t="s">
        <v>263</v>
      </c>
      <c r="D191" t="s">
        <v>5</v>
      </c>
      <c r="E191" t="s">
        <v>7</v>
      </c>
      <c r="F191" t="s">
        <v>427</v>
      </c>
      <c r="G191" t="s">
        <v>424</v>
      </c>
      <c r="H191" s="1">
        <v>25711</v>
      </c>
      <c r="I191" s="1" t="s">
        <v>433</v>
      </c>
      <c r="J191" t="s">
        <v>444</v>
      </c>
      <c r="K191" s="12">
        <v>29.9</v>
      </c>
      <c r="L191" s="14">
        <f ca="1">TRUNC((TODAY()-TabelaBase[[#This Row],[Data Nascimento]])/365)</f>
        <v>55</v>
      </c>
      <c r="M191" s="14" t="str">
        <f ca="1">HLOOKUP(TabelaBase[[#This Row],[Idade]],$O$3:$R$4,2,TRUE)</f>
        <v>54-70</v>
      </c>
    </row>
    <row r="192" spans="2:13" x14ac:dyDescent="0.3">
      <c r="B192" s="11">
        <v>36398957082</v>
      </c>
      <c r="C192" t="s">
        <v>398</v>
      </c>
      <c r="D192" t="s">
        <v>5</v>
      </c>
      <c r="E192" t="s">
        <v>417</v>
      </c>
      <c r="F192" t="s">
        <v>13</v>
      </c>
      <c r="G192" t="s">
        <v>426</v>
      </c>
      <c r="H192" s="1">
        <v>29348</v>
      </c>
      <c r="I192" s="1" t="s">
        <v>433</v>
      </c>
      <c r="J192" t="s">
        <v>446</v>
      </c>
      <c r="K192" s="12">
        <v>9.9</v>
      </c>
      <c r="L192" s="14">
        <f ca="1">TRUNC((TODAY()-TabelaBase[[#This Row],[Data Nascimento]])/365)</f>
        <v>45</v>
      </c>
      <c r="M192" s="14" t="str">
        <f ca="1">HLOOKUP(TabelaBase[[#This Row],[Idade]],$O$3:$R$4,2,TRUE)</f>
        <v>44 - 54</v>
      </c>
    </row>
    <row r="193" spans="2:13" x14ac:dyDescent="0.3">
      <c r="B193" s="11">
        <v>36403873767</v>
      </c>
      <c r="C193" t="s">
        <v>49</v>
      </c>
      <c r="D193" t="s">
        <v>6</v>
      </c>
      <c r="E193" t="s">
        <v>8</v>
      </c>
      <c r="F193" t="s">
        <v>12</v>
      </c>
      <c r="G193" t="s">
        <v>424</v>
      </c>
      <c r="H193" s="1">
        <v>23274</v>
      </c>
      <c r="I193" s="1" t="s">
        <v>433</v>
      </c>
      <c r="J193" t="s">
        <v>445</v>
      </c>
      <c r="K193" s="12">
        <v>35.9</v>
      </c>
      <c r="L193" s="14">
        <f ca="1">TRUNC((TODAY()-TabelaBase[[#This Row],[Data Nascimento]])/365)</f>
        <v>62</v>
      </c>
      <c r="M193" s="14" t="str">
        <f ca="1">HLOOKUP(TabelaBase[[#This Row],[Idade]],$O$3:$R$4,2,TRUE)</f>
        <v>54-70</v>
      </c>
    </row>
    <row r="194" spans="2:13" x14ac:dyDescent="0.3">
      <c r="B194" s="11">
        <v>36431106330</v>
      </c>
      <c r="C194" t="s">
        <v>79</v>
      </c>
      <c r="D194" t="s">
        <v>6</v>
      </c>
      <c r="E194" t="s">
        <v>8</v>
      </c>
      <c r="F194" t="s">
        <v>12</v>
      </c>
      <c r="G194" t="s">
        <v>424</v>
      </c>
      <c r="H194" s="1">
        <v>30551</v>
      </c>
      <c r="I194" s="1" t="s">
        <v>433</v>
      </c>
      <c r="J194" t="s">
        <v>447</v>
      </c>
      <c r="K194" s="12">
        <v>79.900000000000006</v>
      </c>
      <c r="L194" s="14">
        <f ca="1">TRUNC((TODAY()-TabelaBase[[#This Row],[Data Nascimento]])/365)</f>
        <v>42</v>
      </c>
      <c r="M194" s="14" t="str">
        <f ca="1">HLOOKUP(TabelaBase[[#This Row],[Idade]],$O$3:$R$4,2,TRUE)</f>
        <v>35 - 44</v>
      </c>
    </row>
    <row r="195" spans="2:13" x14ac:dyDescent="0.3">
      <c r="B195" s="11">
        <v>36441615871</v>
      </c>
      <c r="C195" t="s">
        <v>334</v>
      </c>
      <c r="D195" t="s">
        <v>6</v>
      </c>
      <c r="E195" t="s">
        <v>417</v>
      </c>
      <c r="F195" t="s">
        <v>427</v>
      </c>
      <c r="G195" t="s">
        <v>425</v>
      </c>
      <c r="H195" s="1">
        <v>31733</v>
      </c>
      <c r="I195" s="1" t="s">
        <v>433</v>
      </c>
      <c r="J195" t="s">
        <v>444</v>
      </c>
      <c r="K195" s="12">
        <v>29.9</v>
      </c>
      <c r="L195" s="14">
        <f ca="1">TRUNC((TODAY()-TabelaBase[[#This Row],[Data Nascimento]])/365)</f>
        <v>39</v>
      </c>
      <c r="M195" s="14" t="str">
        <f ca="1">HLOOKUP(TabelaBase[[#This Row],[Idade]],$O$3:$R$4,2,TRUE)</f>
        <v>35 - 44</v>
      </c>
    </row>
    <row r="196" spans="2:13" x14ac:dyDescent="0.3">
      <c r="B196" s="11">
        <v>36548470324</v>
      </c>
      <c r="C196" t="s">
        <v>368</v>
      </c>
      <c r="D196" t="s">
        <v>5</v>
      </c>
      <c r="E196" t="s">
        <v>416</v>
      </c>
      <c r="F196" t="s">
        <v>13</v>
      </c>
      <c r="G196" t="s">
        <v>425</v>
      </c>
      <c r="H196" s="1">
        <v>27090</v>
      </c>
      <c r="I196" s="1" t="s">
        <v>430</v>
      </c>
      <c r="J196" t="s">
        <v>444</v>
      </c>
      <c r="K196" s="12">
        <v>29.9</v>
      </c>
      <c r="L196" s="14">
        <f ca="1">TRUNC((TODAY()-TabelaBase[[#This Row],[Data Nascimento]])/365)</f>
        <v>51</v>
      </c>
      <c r="M196" s="14" t="str">
        <f ca="1">HLOOKUP(TabelaBase[[#This Row],[Idade]],$O$3:$R$4,2,TRUE)</f>
        <v>44 - 54</v>
      </c>
    </row>
    <row r="197" spans="2:13" x14ac:dyDescent="0.3">
      <c r="B197" s="11">
        <v>36755533362</v>
      </c>
      <c r="C197" t="s">
        <v>49</v>
      </c>
      <c r="D197" t="s">
        <v>6</v>
      </c>
      <c r="E197" t="s">
        <v>8</v>
      </c>
      <c r="F197" t="s">
        <v>12</v>
      </c>
      <c r="G197" t="s">
        <v>424</v>
      </c>
      <c r="H197" s="1">
        <v>33244</v>
      </c>
      <c r="I197" s="1" t="s">
        <v>429</v>
      </c>
      <c r="J197" t="s">
        <v>445</v>
      </c>
      <c r="K197" s="12">
        <v>35.9</v>
      </c>
      <c r="L197" s="14">
        <f ca="1">TRUNC((TODAY()-TabelaBase[[#This Row],[Data Nascimento]])/365)</f>
        <v>35</v>
      </c>
      <c r="M197" s="14" t="str">
        <f ca="1">HLOOKUP(TabelaBase[[#This Row],[Idade]],$O$3:$R$4,2,TRUE)</f>
        <v>35 - 44</v>
      </c>
    </row>
    <row r="198" spans="2:13" x14ac:dyDescent="0.3">
      <c r="B198" s="11">
        <v>36796717410</v>
      </c>
      <c r="C198" t="s">
        <v>255</v>
      </c>
      <c r="D198" t="s">
        <v>5</v>
      </c>
      <c r="E198" t="s">
        <v>417</v>
      </c>
      <c r="F198" t="s">
        <v>9</v>
      </c>
      <c r="G198" t="s">
        <v>425</v>
      </c>
      <c r="H198" s="1">
        <v>31218</v>
      </c>
      <c r="I198" s="1" t="s">
        <v>431</v>
      </c>
      <c r="J198" t="s">
        <v>446</v>
      </c>
      <c r="K198" s="12">
        <v>9.9</v>
      </c>
      <c r="L198" s="14">
        <f ca="1">TRUNC((TODAY()-TabelaBase[[#This Row],[Data Nascimento]])/365)</f>
        <v>40</v>
      </c>
      <c r="M198" s="14" t="str">
        <f ca="1">HLOOKUP(TabelaBase[[#This Row],[Idade]],$O$3:$R$4,2,TRUE)</f>
        <v>35 - 44</v>
      </c>
    </row>
    <row r="199" spans="2:13" x14ac:dyDescent="0.3">
      <c r="B199" s="11">
        <v>36829497298</v>
      </c>
      <c r="C199" t="s">
        <v>168</v>
      </c>
      <c r="D199" t="s">
        <v>6</v>
      </c>
      <c r="E199" t="s">
        <v>416</v>
      </c>
      <c r="F199" t="s">
        <v>13</v>
      </c>
      <c r="G199" t="s">
        <v>425</v>
      </c>
      <c r="H199" s="1">
        <v>29883</v>
      </c>
      <c r="I199" s="1" t="s">
        <v>432</v>
      </c>
      <c r="J199" t="s">
        <v>445</v>
      </c>
      <c r="K199" s="12">
        <v>35.9</v>
      </c>
      <c r="L199" s="14">
        <f ca="1">TRUNC((TODAY()-TabelaBase[[#This Row],[Data Nascimento]])/365)</f>
        <v>44</v>
      </c>
      <c r="M199" s="14" t="str">
        <f ca="1">HLOOKUP(TabelaBase[[#This Row],[Idade]],$O$3:$R$4,2,TRUE)</f>
        <v>44 - 54</v>
      </c>
    </row>
    <row r="200" spans="2:13" x14ac:dyDescent="0.3">
      <c r="B200" s="11">
        <v>36836051756</v>
      </c>
      <c r="C200" t="s">
        <v>204</v>
      </c>
      <c r="D200" t="s">
        <v>5</v>
      </c>
      <c r="E200" t="s">
        <v>418</v>
      </c>
      <c r="F200" t="s">
        <v>13</v>
      </c>
      <c r="G200" t="s">
        <v>425</v>
      </c>
      <c r="H200" s="1">
        <v>22557</v>
      </c>
      <c r="I200" s="1" t="s">
        <v>434</v>
      </c>
      <c r="J200" t="s">
        <v>446</v>
      </c>
      <c r="K200" s="12">
        <v>9.9</v>
      </c>
      <c r="L200" s="14">
        <f ca="1">TRUNC((TODAY()-TabelaBase[[#This Row],[Data Nascimento]])/365)</f>
        <v>64</v>
      </c>
      <c r="M200" s="14" t="str">
        <f ca="1">HLOOKUP(TabelaBase[[#This Row],[Idade]],$O$3:$R$4,2,TRUE)</f>
        <v>54-70</v>
      </c>
    </row>
    <row r="201" spans="2:13" x14ac:dyDescent="0.3">
      <c r="B201" s="11">
        <v>36873140092</v>
      </c>
      <c r="C201" t="s">
        <v>191</v>
      </c>
      <c r="D201" t="s">
        <v>5</v>
      </c>
      <c r="E201" t="s">
        <v>417</v>
      </c>
      <c r="F201" t="s">
        <v>427</v>
      </c>
      <c r="G201" t="s">
        <v>424</v>
      </c>
      <c r="H201" s="1">
        <v>33437</v>
      </c>
      <c r="I201" s="1" t="s">
        <v>430</v>
      </c>
      <c r="J201" t="s">
        <v>444</v>
      </c>
      <c r="K201" s="12">
        <v>29.9</v>
      </c>
      <c r="L201" s="14">
        <f ca="1">TRUNC((TODAY()-TabelaBase[[#This Row],[Data Nascimento]])/365)</f>
        <v>34</v>
      </c>
      <c r="M201" s="14" t="str">
        <f ca="1">HLOOKUP(TabelaBase[[#This Row],[Idade]],$O$3:$R$4,2,TRUE)</f>
        <v>24-34</v>
      </c>
    </row>
    <row r="202" spans="2:13" x14ac:dyDescent="0.3">
      <c r="B202" s="11">
        <v>36909199882</v>
      </c>
      <c r="C202" t="s">
        <v>16</v>
      </c>
      <c r="D202" t="s">
        <v>6</v>
      </c>
      <c r="E202" t="s">
        <v>7</v>
      </c>
      <c r="F202" t="s">
        <v>14</v>
      </c>
      <c r="G202" t="s">
        <v>426</v>
      </c>
      <c r="H202" s="1">
        <v>29807</v>
      </c>
      <c r="I202" s="1" t="s">
        <v>435</v>
      </c>
      <c r="J202" t="s">
        <v>444</v>
      </c>
      <c r="K202" s="12">
        <v>29.9</v>
      </c>
      <c r="L202" s="14">
        <f ca="1">TRUNC((TODAY()-TabelaBase[[#This Row],[Data Nascimento]])/365)</f>
        <v>44</v>
      </c>
      <c r="M202" s="14" t="str">
        <f ca="1">HLOOKUP(TabelaBase[[#This Row],[Idade]],$O$3:$R$4,2,TRUE)</f>
        <v>44 - 54</v>
      </c>
    </row>
    <row r="203" spans="2:13" x14ac:dyDescent="0.3">
      <c r="B203" s="11">
        <v>36918195071</v>
      </c>
      <c r="C203" t="s">
        <v>89</v>
      </c>
      <c r="D203" t="s">
        <v>6</v>
      </c>
      <c r="E203" t="s">
        <v>8</v>
      </c>
      <c r="F203" t="s">
        <v>427</v>
      </c>
      <c r="G203" t="s">
        <v>424</v>
      </c>
      <c r="H203" s="1">
        <v>30225</v>
      </c>
      <c r="I203" s="1" t="s">
        <v>436</v>
      </c>
      <c r="J203" t="s">
        <v>445</v>
      </c>
      <c r="K203" s="12">
        <v>35.9</v>
      </c>
      <c r="L203" s="14">
        <f ca="1">TRUNC((TODAY()-TabelaBase[[#This Row],[Data Nascimento]])/365)</f>
        <v>43</v>
      </c>
      <c r="M203" s="14" t="str">
        <f ca="1">HLOOKUP(TabelaBase[[#This Row],[Idade]],$O$3:$R$4,2,TRUE)</f>
        <v>35 - 44</v>
      </c>
    </row>
    <row r="204" spans="2:13" x14ac:dyDescent="0.3">
      <c r="B204" s="11">
        <v>36953446241</v>
      </c>
      <c r="C204" t="s">
        <v>34</v>
      </c>
      <c r="D204" t="s">
        <v>5</v>
      </c>
      <c r="E204" t="s">
        <v>417</v>
      </c>
      <c r="F204" t="s">
        <v>14</v>
      </c>
      <c r="G204" t="s">
        <v>425</v>
      </c>
      <c r="H204" s="1">
        <v>25269</v>
      </c>
      <c r="I204" s="1" t="s">
        <v>430</v>
      </c>
      <c r="J204" t="s">
        <v>444</v>
      </c>
      <c r="K204" s="12">
        <v>29.9</v>
      </c>
      <c r="L204" s="14">
        <f ca="1">TRUNC((TODAY()-TabelaBase[[#This Row],[Data Nascimento]])/365)</f>
        <v>56</v>
      </c>
      <c r="M204" s="14" t="str">
        <f ca="1">HLOOKUP(TabelaBase[[#This Row],[Idade]],$O$3:$R$4,2,TRUE)</f>
        <v>54-70</v>
      </c>
    </row>
    <row r="205" spans="2:13" x14ac:dyDescent="0.3">
      <c r="B205" s="11">
        <v>36997621098</v>
      </c>
      <c r="C205" t="s">
        <v>99</v>
      </c>
      <c r="D205" t="s">
        <v>6</v>
      </c>
      <c r="E205" t="s">
        <v>8</v>
      </c>
      <c r="F205" t="s">
        <v>9</v>
      </c>
      <c r="G205" t="s">
        <v>426</v>
      </c>
      <c r="H205" s="1">
        <v>22462</v>
      </c>
      <c r="I205" s="1" t="s">
        <v>435</v>
      </c>
      <c r="J205" t="s">
        <v>446</v>
      </c>
      <c r="K205" s="12">
        <v>9.9</v>
      </c>
      <c r="L205" s="14">
        <f ca="1">TRUNC((TODAY()-TabelaBase[[#This Row],[Data Nascimento]])/365)</f>
        <v>64</v>
      </c>
      <c r="M205" s="14" t="str">
        <f ca="1">HLOOKUP(TabelaBase[[#This Row],[Idade]],$O$3:$R$4,2,TRUE)</f>
        <v>54-70</v>
      </c>
    </row>
    <row r="206" spans="2:13" x14ac:dyDescent="0.3">
      <c r="B206" s="11">
        <v>37045628622</v>
      </c>
      <c r="C206" t="s">
        <v>152</v>
      </c>
      <c r="D206" t="s">
        <v>6</v>
      </c>
      <c r="E206" t="s">
        <v>8</v>
      </c>
      <c r="F206" t="s">
        <v>13</v>
      </c>
      <c r="G206" t="s">
        <v>425</v>
      </c>
      <c r="H206" s="1">
        <v>24936</v>
      </c>
      <c r="I206" s="1" t="s">
        <v>436</v>
      </c>
      <c r="J206" t="s">
        <v>444</v>
      </c>
      <c r="K206" s="12">
        <v>29.9</v>
      </c>
      <c r="L206" s="14">
        <f ca="1">TRUNC((TODAY()-TabelaBase[[#This Row],[Data Nascimento]])/365)</f>
        <v>57</v>
      </c>
      <c r="M206" s="14" t="str">
        <f ca="1">HLOOKUP(TabelaBase[[#This Row],[Idade]],$O$3:$R$4,2,TRUE)</f>
        <v>54-70</v>
      </c>
    </row>
    <row r="207" spans="2:13" x14ac:dyDescent="0.3">
      <c r="B207" s="11">
        <v>37057811668</v>
      </c>
      <c r="C207" t="s">
        <v>393</v>
      </c>
      <c r="D207" t="s">
        <v>6</v>
      </c>
      <c r="E207" t="s">
        <v>7</v>
      </c>
      <c r="F207" t="s">
        <v>427</v>
      </c>
      <c r="G207" t="s">
        <v>424</v>
      </c>
      <c r="H207" s="1">
        <v>32635</v>
      </c>
      <c r="I207" s="1" t="s">
        <v>433</v>
      </c>
      <c r="J207" t="s">
        <v>446</v>
      </c>
      <c r="K207" s="12">
        <v>9.9</v>
      </c>
      <c r="L207" s="14">
        <f ca="1">TRUNC((TODAY()-TabelaBase[[#This Row],[Data Nascimento]])/365)</f>
        <v>36</v>
      </c>
      <c r="M207" s="14" t="str">
        <f ca="1">HLOOKUP(TabelaBase[[#This Row],[Idade]],$O$3:$R$4,2,TRUE)</f>
        <v>35 - 44</v>
      </c>
    </row>
    <row r="208" spans="2:13" x14ac:dyDescent="0.3">
      <c r="B208" s="11">
        <v>37211590394</v>
      </c>
      <c r="C208" t="s">
        <v>349</v>
      </c>
      <c r="D208" t="s">
        <v>5</v>
      </c>
      <c r="E208" t="s">
        <v>8</v>
      </c>
      <c r="F208" t="s">
        <v>427</v>
      </c>
      <c r="G208" t="s">
        <v>426</v>
      </c>
      <c r="H208" s="1">
        <v>30669</v>
      </c>
      <c r="I208" s="1" t="s">
        <v>433</v>
      </c>
      <c r="J208" t="s">
        <v>445</v>
      </c>
      <c r="K208" s="12">
        <v>35.9</v>
      </c>
      <c r="L208" s="14">
        <f ca="1">TRUNC((TODAY()-TabelaBase[[#This Row],[Data Nascimento]])/365)</f>
        <v>42</v>
      </c>
      <c r="M208" s="14" t="str">
        <f ca="1">HLOOKUP(TabelaBase[[#This Row],[Idade]],$O$3:$R$4,2,TRUE)</f>
        <v>35 - 44</v>
      </c>
    </row>
    <row r="209" spans="2:13" x14ac:dyDescent="0.3">
      <c r="B209" s="11">
        <v>37236926966</v>
      </c>
      <c r="C209" t="s">
        <v>347</v>
      </c>
      <c r="D209" t="s">
        <v>5</v>
      </c>
      <c r="E209" t="s">
        <v>7</v>
      </c>
      <c r="F209" t="s">
        <v>13</v>
      </c>
      <c r="G209" t="s">
        <v>425</v>
      </c>
      <c r="H209" s="1">
        <v>23978</v>
      </c>
      <c r="I209" s="1" t="s">
        <v>433</v>
      </c>
      <c r="J209" t="s">
        <v>444</v>
      </c>
      <c r="K209" s="12">
        <v>29.9</v>
      </c>
      <c r="L209" s="14">
        <f ca="1">TRUNC((TODAY()-TabelaBase[[#This Row],[Data Nascimento]])/365)</f>
        <v>60</v>
      </c>
      <c r="M209" s="14" t="str">
        <f ca="1">HLOOKUP(TabelaBase[[#This Row],[Idade]],$O$3:$R$4,2,TRUE)</f>
        <v>54-70</v>
      </c>
    </row>
    <row r="210" spans="2:13" x14ac:dyDescent="0.3">
      <c r="B210" s="11">
        <v>37275901953</v>
      </c>
      <c r="C210" t="s">
        <v>318</v>
      </c>
      <c r="D210" t="s">
        <v>6</v>
      </c>
      <c r="E210" t="s">
        <v>417</v>
      </c>
      <c r="F210" t="s">
        <v>11</v>
      </c>
      <c r="G210" t="s">
        <v>426</v>
      </c>
      <c r="H210" s="1">
        <v>23462</v>
      </c>
      <c r="I210" s="1" t="s">
        <v>433</v>
      </c>
      <c r="J210" t="s">
        <v>447</v>
      </c>
      <c r="K210" s="12">
        <v>79.900000000000006</v>
      </c>
      <c r="L210" s="14">
        <f ca="1">TRUNC((TODAY()-TabelaBase[[#This Row],[Data Nascimento]])/365)</f>
        <v>61</v>
      </c>
      <c r="M210" s="14" t="str">
        <f ca="1">HLOOKUP(TabelaBase[[#This Row],[Idade]],$O$3:$R$4,2,TRUE)</f>
        <v>54-70</v>
      </c>
    </row>
    <row r="211" spans="2:13" x14ac:dyDescent="0.3">
      <c r="B211" s="11">
        <v>37464613995</v>
      </c>
      <c r="C211" t="s">
        <v>48</v>
      </c>
      <c r="D211" t="s">
        <v>5</v>
      </c>
      <c r="E211" t="s">
        <v>416</v>
      </c>
      <c r="F211" t="s">
        <v>13</v>
      </c>
      <c r="G211" t="s">
        <v>425</v>
      </c>
      <c r="H211" s="1">
        <v>29466</v>
      </c>
      <c r="I211" s="1" t="s">
        <v>433</v>
      </c>
      <c r="J211" t="s">
        <v>445</v>
      </c>
      <c r="K211" s="12">
        <v>35.9</v>
      </c>
      <c r="L211" s="14">
        <f ca="1">TRUNC((TODAY()-TabelaBase[[#This Row],[Data Nascimento]])/365)</f>
        <v>45</v>
      </c>
      <c r="M211" s="14" t="str">
        <f ca="1">HLOOKUP(TabelaBase[[#This Row],[Idade]],$O$3:$R$4,2,TRUE)</f>
        <v>44 - 54</v>
      </c>
    </row>
    <row r="212" spans="2:13" x14ac:dyDescent="0.3">
      <c r="B212" s="11">
        <v>37625766880</v>
      </c>
      <c r="C212" t="s">
        <v>261</v>
      </c>
      <c r="D212" t="s">
        <v>6</v>
      </c>
      <c r="E212" t="s">
        <v>417</v>
      </c>
      <c r="F212" t="s">
        <v>427</v>
      </c>
      <c r="G212" t="s">
        <v>425</v>
      </c>
      <c r="H212" s="1">
        <v>23145</v>
      </c>
      <c r="I212" s="1" t="s">
        <v>433</v>
      </c>
      <c r="J212" t="s">
        <v>446</v>
      </c>
      <c r="K212" s="12">
        <v>9.9</v>
      </c>
      <c r="L212" s="14">
        <f ca="1">TRUNC((TODAY()-TabelaBase[[#This Row],[Data Nascimento]])/365)</f>
        <v>62</v>
      </c>
      <c r="M212" s="14" t="str">
        <f ca="1">HLOOKUP(TabelaBase[[#This Row],[Idade]],$O$3:$R$4,2,TRUE)</f>
        <v>54-70</v>
      </c>
    </row>
    <row r="213" spans="2:13" x14ac:dyDescent="0.3">
      <c r="B213" s="11">
        <v>37652222715</v>
      </c>
      <c r="C213" t="s">
        <v>229</v>
      </c>
      <c r="D213" t="s">
        <v>6</v>
      </c>
      <c r="E213" t="s">
        <v>8</v>
      </c>
      <c r="F213" t="s">
        <v>427</v>
      </c>
      <c r="G213" t="s">
        <v>426</v>
      </c>
      <c r="H213" s="1">
        <v>34949</v>
      </c>
      <c r="I213" s="1" t="s">
        <v>433</v>
      </c>
      <c r="J213" t="s">
        <v>445</v>
      </c>
      <c r="K213" s="12">
        <v>35.9</v>
      </c>
      <c r="L213" s="14">
        <f ca="1">TRUNC((TODAY()-TabelaBase[[#This Row],[Data Nascimento]])/365)</f>
        <v>30</v>
      </c>
      <c r="M213" s="14" t="str">
        <f ca="1">HLOOKUP(TabelaBase[[#This Row],[Idade]],$O$3:$R$4,2,TRUE)</f>
        <v>24-34</v>
      </c>
    </row>
    <row r="214" spans="2:13" x14ac:dyDescent="0.3">
      <c r="B214" s="11">
        <v>37693210425</v>
      </c>
      <c r="C214" t="s">
        <v>336</v>
      </c>
      <c r="D214" t="s">
        <v>6</v>
      </c>
      <c r="E214" t="s">
        <v>7</v>
      </c>
      <c r="F214" t="s">
        <v>13</v>
      </c>
      <c r="G214" t="s">
        <v>426</v>
      </c>
      <c r="H214" s="1">
        <v>32689</v>
      </c>
      <c r="I214" s="1" t="s">
        <v>433</v>
      </c>
      <c r="J214" t="s">
        <v>445</v>
      </c>
      <c r="K214" s="12">
        <v>35.9</v>
      </c>
      <c r="L214" s="14">
        <f ca="1">TRUNC((TODAY()-TabelaBase[[#This Row],[Data Nascimento]])/365)</f>
        <v>36</v>
      </c>
      <c r="M214" s="14" t="str">
        <f ca="1">HLOOKUP(TabelaBase[[#This Row],[Idade]],$O$3:$R$4,2,TRUE)</f>
        <v>35 - 44</v>
      </c>
    </row>
    <row r="215" spans="2:13" x14ac:dyDescent="0.3">
      <c r="B215" s="11">
        <v>37769893799</v>
      </c>
      <c r="C215" t="s">
        <v>316</v>
      </c>
      <c r="D215" t="s">
        <v>6</v>
      </c>
      <c r="E215" t="s">
        <v>7</v>
      </c>
      <c r="F215" t="s">
        <v>14</v>
      </c>
      <c r="G215" t="s">
        <v>426</v>
      </c>
      <c r="H215" s="1">
        <v>22161</v>
      </c>
      <c r="I215" s="1" t="s">
        <v>433</v>
      </c>
      <c r="J215" t="s">
        <v>444</v>
      </c>
      <c r="K215" s="12">
        <v>29.9</v>
      </c>
      <c r="L215" s="14">
        <f ca="1">TRUNC((TODAY()-TabelaBase[[#This Row],[Data Nascimento]])/365)</f>
        <v>65</v>
      </c>
      <c r="M215" s="14" t="str">
        <f ca="1">HLOOKUP(TabelaBase[[#This Row],[Idade]],$O$3:$R$4,2,TRUE)</f>
        <v>54-70</v>
      </c>
    </row>
    <row r="216" spans="2:13" x14ac:dyDescent="0.3">
      <c r="B216" s="11">
        <v>37770682454</v>
      </c>
      <c r="C216" t="s">
        <v>378</v>
      </c>
      <c r="D216" t="s">
        <v>5</v>
      </c>
      <c r="E216" t="s">
        <v>417</v>
      </c>
      <c r="F216" t="s">
        <v>11</v>
      </c>
      <c r="G216" t="s">
        <v>426</v>
      </c>
      <c r="H216" s="1">
        <v>24066</v>
      </c>
      <c r="I216" s="1" t="s">
        <v>429</v>
      </c>
      <c r="J216" t="s">
        <v>447</v>
      </c>
      <c r="K216" s="12">
        <v>79.900000000000006</v>
      </c>
      <c r="L216" s="14">
        <f ca="1">TRUNC((TODAY()-TabelaBase[[#This Row],[Data Nascimento]])/365)</f>
        <v>60</v>
      </c>
      <c r="M216" s="14" t="str">
        <f ca="1">HLOOKUP(TabelaBase[[#This Row],[Idade]],$O$3:$R$4,2,TRUE)</f>
        <v>54-70</v>
      </c>
    </row>
    <row r="217" spans="2:13" x14ac:dyDescent="0.3">
      <c r="B217" s="11">
        <v>37789075708</v>
      </c>
      <c r="C217" t="s">
        <v>205</v>
      </c>
      <c r="D217" t="s">
        <v>5</v>
      </c>
      <c r="E217" t="s">
        <v>7</v>
      </c>
      <c r="F217" t="s">
        <v>427</v>
      </c>
      <c r="G217" t="s">
        <v>425</v>
      </c>
      <c r="H217" s="1">
        <v>33101</v>
      </c>
      <c r="I217" s="1" t="s">
        <v>432</v>
      </c>
      <c r="J217" t="s">
        <v>445</v>
      </c>
      <c r="K217" s="12">
        <v>35.9</v>
      </c>
      <c r="L217" s="14">
        <f ca="1">TRUNC((TODAY()-TabelaBase[[#This Row],[Data Nascimento]])/365)</f>
        <v>35</v>
      </c>
      <c r="M217" s="14" t="str">
        <f ca="1">HLOOKUP(TabelaBase[[#This Row],[Idade]],$O$3:$R$4,2,TRUE)</f>
        <v>35 - 44</v>
      </c>
    </row>
    <row r="218" spans="2:13" x14ac:dyDescent="0.3">
      <c r="B218" s="11">
        <v>37966879871</v>
      </c>
      <c r="C218" t="s">
        <v>127</v>
      </c>
      <c r="D218" t="s">
        <v>6</v>
      </c>
      <c r="E218" t="s">
        <v>7</v>
      </c>
      <c r="F218" t="s">
        <v>12</v>
      </c>
      <c r="G218" t="s">
        <v>425</v>
      </c>
      <c r="H218" s="1">
        <v>24074</v>
      </c>
      <c r="I218" s="1" t="s">
        <v>436</v>
      </c>
      <c r="J218" t="s">
        <v>447</v>
      </c>
      <c r="K218" s="12">
        <v>79.900000000000006</v>
      </c>
      <c r="L218" s="14">
        <f ca="1">TRUNC((TODAY()-TabelaBase[[#This Row],[Data Nascimento]])/365)</f>
        <v>60</v>
      </c>
      <c r="M218" s="14" t="str">
        <f ca="1">HLOOKUP(TabelaBase[[#This Row],[Idade]],$O$3:$R$4,2,TRUE)</f>
        <v>54-70</v>
      </c>
    </row>
    <row r="219" spans="2:13" x14ac:dyDescent="0.3">
      <c r="B219" s="11">
        <v>37973746271</v>
      </c>
      <c r="C219" t="s">
        <v>129</v>
      </c>
      <c r="D219" t="s">
        <v>6</v>
      </c>
      <c r="E219" t="s">
        <v>8</v>
      </c>
      <c r="F219" t="s">
        <v>427</v>
      </c>
      <c r="G219" t="s">
        <v>424</v>
      </c>
      <c r="H219" s="1">
        <v>28564</v>
      </c>
      <c r="I219" s="1" t="s">
        <v>436</v>
      </c>
      <c r="J219" t="s">
        <v>446</v>
      </c>
      <c r="K219" s="12">
        <v>9.9</v>
      </c>
      <c r="L219" s="14">
        <f ca="1">TRUNC((TODAY()-TabelaBase[[#This Row],[Data Nascimento]])/365)</f>
        <v>47</v>
      </c>
      <c r="M219" s="14" t="str">
        <f ca="1">HLOOKUP(TabelaBase[[#This Row],[Idade]],$O$3:$R$4,2,TRUE)</f>
        <v>44 - 54</v>
      </c>
    </row>
    <row r="220" spans="2:13" x14ac:dyDescent="0.3">
      <c r="B220" s="11">
        <v>37978687320</v>
      </c>
      <c r="C220" t="s">
        <v>369</v>
      </c>
      <c r="D220" t="s">
        <v>6</v>
      </c>
      <c r="E220" t="s">
        <v>8</v>
      </c>
      <c r="F220" t="s">
        <v>427</v>
      </c>
      <c r="G220" t="s">
        <v>424</v>
      </c>
      <c r="H220" s="1">
        <v>28641</v>
      </c>
      <c r="I220" s="1" t="s">
        <v>436</v>
      </c>
      <c r="J220" t="s">
        <v>446</v>
      </c>
      <c r="K220" s="12">
        <v>9.9</v>
      </c>
      <c r="L220" s="14">
        <f ca="1">TRUNC((TODAY()-TabelaBase[[#This Row],[Data Nascimento]])/365)</f>
        <v>47</v>
      </c>
      <c r="M220" s="14" t="str">
        <f ca="1">HLOOKUP(TabelaBase[[#This Row],[Idade]],$O$3:$R$4,2,TRUE)</f>
        <v>44 - 54</v>
      </c>
    </row>
    <row r="221" spans="2:13" x14ac:dyDescent="0.3">
      <c r="B221" s="11">
        <v>38016517517</v>
      </c>
      <c r="C221" t="s">
        <v>393</v>
      </c>
      <c r="D221" t="s">
        <v>6</v>
      </c>
      <c r="E221" t="s">
        <v>7</v>
      </c>
      <c r="F221" t="s">
        <v>427</v>
      </c>
      <c r="G221" t="s">
        <v>424</v>
      </c>
      <c r="H221" s="1">
        <v>27316</v>
      </c>
      <c r="I221" s="1" t="s">
        <v>436</v>
      </c>
      <c r="J221" t="s">
        <v>446</v>
      </c>
      <c r="K221" s="12">
        <v>9.9</v>
      </c>
      <c r="L221" s="14">
        <f ca="1">TRUNC((TODAY()-TabelaBase[[#This Row],[Data Nascimento]])/365)</f>
        <v>51</v>
      </c>
      <c r="M221" s="14" t="str">
        <f ca="1">HLOOKUP(TabelaBase[[#This Row],[Idade]],$O$3:$R$4,2,TRUE)</f>
        <v>44 - 54</v>
      </c>
    </row>
    <row r="222" spans="2:13" x14ac:dyDescent="0.3">
      <c r="B222" s="11">
        <v>38032052054</v>
      </c>
      <c r="C222" t="s">
        <v>412</v>
      </c>
      <c r="D222" t="s">
        <v>5</v>
      </c>
      <c r="E222" t="s">
        <v>8</v>
      </c>
      <c r="F222" t="s">
        <v>14</v>
      </c>
      <c r="G222" t="s">
        <v>425</v>
      </c>
      <c r="H222" s="1">
        <v>29401</v>
      </c>
      <c r="I222" s="1" t="s">
        <v>436</v>
      </c>
      <c r="J222" t="s">
        <v>444</v>
      </c>
      <c r="K222" s="12">
        <v>29.9</v>
      </c>
      <c r="L222" s="14">
        <f ca="1">TRUNC((TODAY()-TabelaBase[[#This Row],[Data Nascimento]])/365)</f>
        <v>45</v>
      </c>
      <c r="M222" s="14" t="str">
        <f ca="1">HLOOKUP(TabelaBase[[#This Row],[Idade]],$O$3:$R$4,2,TRUE)</f>
        <v>44 - 54</v>
      </c>
    </row>
    <row r="223" spans="2:13" x14ac:dyDescent="0.3">
      <c r="B223" s="11">
        <v>38046725955</v>
      </c>
      <c r="C223" t="s">
        <v>173</v>
      </c>
      <c r="D223" t="s">
        <v>6</v>
      </c>
      <c r="E223" t="s">
        <v>7</v>
      </c>
      <c r="F223" t="s">
        <v>427</v>
      </c>
      <c r="G223" t="s">
        <v>424</v>
      </c>
      <c r="H223" s="1">
        <v>27594</v>
      </c>
      <c r="I223" s="1" t="s">
        <v>436</v>
      </c>
      <c r="J223" t="s">
        <v>445</v>
      </c>
      <c r="K223" s="12">
        <v>35.9</v>
      </c>
      <c r="L223" s="14">
        <f ca="1">TRUNC((TODAY()-TabelaBase[[#This Row],[Data Nascimento]])/365)</f>
        <v>50</v>
      </c>
      <c r="M223" s="14" t="str">
        <f ca="1">HLOOKUP(TabelaBase[[#This Row],[Idade]],$O$3:$R$4,2,TRUE)</f>
        <v>44 - 54</v>
      </c>
    </row>
    <row r="224" spans="2:13" x14ac:dyDescent="0.3">
      <c r="B224" s="11">
        <v>38165951942</v>
      </c>
      <c r="C224" t="s">
        <v>241</v>
      </c>
      <c r="D224" t="s">
        <v>5</v>
      </c>
      <c r="E224" t="s">
        <v>417</v>
      </c>
      <c r="F224" t="s">
        <v>12</v>
      </c>
      <c r="G224" t="s">
        <v>425</v>
      </c>
      <c r="H224" s="1">
        <v>26914</v>
      </c>
      <c r="I224" s="1" t="s">
        <v>435</v>
      </c>
      <c r="J224" t="s">
        <v>445</v>
      </c>
      <c r="K224" s="12">
        <v>35.9</v>
      </c>
      <c r="L224" s="14">
        <f ca="1">TRUNC((TODAY()-TabelaBase[[#This Row],[Data Nascimento]])/365)</f>
        <v>52</v>
      </c>
      <c r="M224" s="14" t="str">
        <f ca="1">HLOOKUP(TabelaBase[[#This Row],[Idade]],$O$3:$R$4,2,TRUE)</f>
        <v>44 - 54</v>
      </c>
    </row>
    <row r="225" spans="2:13" x14ac:dyDescent="0.3">
      <c r="B225" s="11">
        <v>38193237578</v>
      </c>
      <c r="C225" t="s">
        <v>112</v>
      </c>
      <c r="D225" t="s">
        <v>5</v>
      </c>
      <c r="E225" t="s">
        <v>8</v>
      </c>
      <c r="F225" t="s">
        <v>14</v>
      </c>
      <c r="G225" t="s">
        <v>425</v>
      </c>
      <c r="H225" s="1">
        <v>32134</v>
      </c>
      <c r="I225" s="1" t="s">
        <v>433</v>
      </c>
      <c r="J225" t="s">
        <v>444</v>
      </c>
      <c r="K225" s="12">
        <v>29.9</v>
      </c>
      <c r="L225" s="14">
        <f ca="1">TRUNC((TODAY()-TabelaBase[[#This Row],[Data Nascimento]])/365)</f>
        <v>38</v>
      </c>
      <c r="M225" s="14" t="str">
        <f ca="1">HLOOKUP(TabelaBase[[#This Row],[Idade]],$O$3:$R$4,2,TRUE)</f>
        <v>35 - 44</v>
      </c>
    </row>
    <row r="226" spans="2:13" x14ac:dyDescent="0.3">
      <c r="B226" s="11">
        <v>38242427646</v>
      </c>
      <c r="C226" t="s">
        <v>241</v>
      </c>
      <c r="D226" t="s">
        <v>5</v>
      </c>
      <c r="E226" t="s">
        <v>416</v>
      </c>
      <c r="F226" t="s">
        <v>12</v>
      </c>
      <c r="G226" t="s">
        <v>425</v>
      </c>
      <c r="H226" s="1">
        <v>26956</v>
      </c>
      <c r="I226" s="1" t="s">
        <v>433</v>
      </c>
      <c r="J226" t="s">
        <v>445</v>
      </c>
      <c r="K226" s="12">
        <v>35.9</v>
      </c>
      <c r="L226" s="14">
        <f ca="1">TRUNC((TODAY()-TabelaBase[[#This Row],[Data Nascimento]])/365)</f>
        <v>52</v>
      </c>
      <c r="M226" s="14" t="str">
        <f ca="1">HLOOKUP(TabelaBase[[#This Row],[Idade]],$O$3:$R$4,2,TRUE)</f>
        <v>44 - 54</v>
      </c>
    </row>
    <row r="227" spans="2:13" x14ac:dyDescent="0.3">
      <c r="B227" s="11">
        <v>38262075932</v>
      </c>
      <c r="C227" t="s">
        <v>351</v>
      </c>
      <c r="D227" t="s">
        <v>5</v>
      </c>
      <c r="E227" t="s">
        <v>417</v>
      </c>
      <c r="F227" t="s">
        <v>9</v>
      </c>
      <c r="G227" t="s">
        <v>424</v>
      </c>
      <c r="H227" s="1">
        <v>27231</v>
      </c>
      <c r="I227" s="1" t="s">
        <v>433</v>
      </c>
      <c r="J227" t="s">
        <v>446</v>
      </c>
      <c r="K227" s="12">
        <v>9.9</v>
      </c>
      <c r="L227" s="14">
        <f ca="1">TRUNC((TODAY()-TabelaBase[[#This Row],[Data Nascimento]])/365)</f>
        <v>51</v>
      </c>
      <c r="M227" s="14" t="str">
        <f ca="1">HLOOKUP(TabelaBase[[#This Row],[Idade]],$O$3:$R$4,2,TRUE)</f>
        <v>44 - 54</v>
      </c>
    </row>
    <row r="228" spans="2:13" x14ac:dyDescent="0.3">
      <c r="B228" s="11">
        <v>38278121652</v>
      </c>
      <c r="C228" t="s">
        <v>112</v>
      </c>
      <c r="D228" t="s">
        <v>5</v>
      </c>
      <c r="E228" t="s">
        <v>8</v>
      </c>
      <c r="F228" t="s">
        <v>14</v>
      </c>
      <c r="G228" t="s">
        <v>425</v>
      </c>
      <c r="H228" s="1">
        <v>22241</v>
      </c>
      <c r="I228" s="1" t="s">
        <v>433</v>
      </c>
      <c r="J228" t="s">
        <v>444</v>
      </c>
      <c r="K228" s="12">
        <v>29.9</v>
      </c>
      <c r="L228" s="14">
        <f ca="1">TRUNC((TODAY()-TabelaBase[[#This Row],[Data Nascimento]])/365)</f>
        <v>65</v>
      </c>
      <c r="M228" s="14" t="str">
        <f ca="1">HLOOKUP(TabelaBase[[#This Row],[Idade]],$O$3:$R$4,2,TRUE)</f>
        <v>54-70</v>
      </c>
    </row>
    <row r="229" spans="2:13" x14ac:dyDescent="0.3">
      <c r="B229" s="11">
        <v>38385048319</v>
      </c>
      <c r="C229" t="s">
        <v>247</v>
      </c>
      <c r="D229" t="s">
        <v>6</v>
      </c>
      <c r="E229" t="s">
        <v>7</v>
      </c>
      <c r="F229" t="s">
        <v>12</v>
      </c>
      <c r="G229" t="s">
        <v>425</v>
      </c>
      <c r="H229" s="1">
        <v>24581</v>
      </c>
      <c r="I229" s="1" t="s">
        <v>433</v>
      </c>
      <c r="J229" t="s">
        <v>447</v>
      </c>
      <c r="K229" s="12">
        <v>79.900000000000006</v>
      </c>
      <c r="L229" s="14">
        <f ca="1">TRUNC((TODAY()-TabelaBase[[#This Row],[Data Nascimento]])/365)</f>
        <v>58</v>
      </c>
      <c r="M229" s="14" t="str">
        <f ca="1">HLOOKUP(TabelaBase[[#This Row],[Idade]],$O$3:$R$4,2,TRUE)</f>
        <v>54-70</v>
      </c>
    </row>
    <row r="230" spans="2:13" x14ac:dyDescent="0.3">
      <c r="B230" s="11">
        <v>38423790148</v>
      </c>
      <c r="C230" t="s">
        <v>92</v>
      </c>
      <c r="D230" t="s">
        <v>6</v>
      </c>
      <c r="E230" t="s">
        <v>8</v>
      </c>
      <c r="F230" t="s">
        <v>13</v>
      </c>
      <c r="G230" t="s">
        <v>425</v>
      </c>
      <c r="H230" s="1">
        <v>26660</v>
      </c>
      <c r="I230" s="1" t="s">
        <v>430</v>
      </c>
      <c r="J230" t="s">
        <v>446</v>
      </c>
      <c r="K230" s="12">
        <v>9.9</v>
      </c>
      <c r="L230" s="14">
        <f ca="1">TRUNC((TODAY()-TabelaBase[[#This Row],[Data Nascimento]])/365)</f>
        <v>53</v>
      </c>
      <c r="M230" s="14" t="str">
        <f ca="1">HLOOKUP(TabelaBase[[#This Row],[Idade]],$O$3:$R$4,2,TRUE)</f>
        <v>44 - 54</v>
      </c>
    </row>
    <row r="231" spans="2:13" x14ac:dyDescent="0.3">
      <c r="B231" s="11">
        <v>38436562260</v>
      </c>
      <c r="C231" t="s">
        <v>125</v>
      </c>
      <c r="D231" t="s">
        <v>6</v>
      </c>
      <c r="E231" t="s">
        <v>7</v>
      </c>
      <c r="F231" t="s">
        <v>427</v>
      </c>
      <c r="G231" t="s">
        <v>425</v>
      </c>
      <c r="H231" s="1">
        <v>31018</v>
      </c>
      <c r="I231" s="1" t="s">
        <v>429</v>
      </c>
      <c r="J231" t="s">
        <v>445</v>
      </c>
      <c r="K231" s="12">
        <v>35.9</v>
      </c>
      <c r="L231" s="14">
        <f ca="1">TRUNC((TODAY()-TabelaBase[[#This Row],[Data Nascimento]])/365)</f>
        <v>41</v>
      </c>
      <c r="M231" s="14" t="str">
        <f ca="1">HLOOKUP(TabelaBase[[#This Row],[Idade]],$O$3:$R$4,2,TRUE)</f>
        <v>35 - 44</v>
      </c>
    </row>
    <row r="232" spans="2:13" x14ac:dyDescent="0.3">
      <c r="B232" s="11">
        <v>38480201900</v>
      </c>
      <c r="C232" t="s">
        <v>246</v>
      </c>
      <c r="D232" t="s">
        <v>6</v>
      </c>
      <c r="E232" t="s">
        <v>417</v>
      </c>
      <c r="F232" t="s">
        <v>11</v>
      </c>
      <c r="G232" t="s">
        <v>426</v>
      </c>
      <c r="H232" s="1">
        <v>30429</v>
      </c>
      <c r="I232" s="1" t="s">
        <v>431</v>
      </c>
      <c r="J232" t="s">
        <v>447</v>
      </c>
      <c r="K232" s="12">
        <v>79.900000000000006</v>
      </c>
      <c r="L232" s="14">
        <f ca="1">TRUNC((TODAY()-TabelaBase[[#This Row],[Data Nascimento]])/365)</f>
        <v>42</v>
      </c>
      <c r="M232" s="14" t="str">
        <f ca="1">HLOOKUP(TabelaBase[[#This Row],[Idade]],$O$3:$R$4,2,TRUE)</f>
        <v>35 - 44</v>
      </c>
    </row>
    <row r="233" spans="2:13" x14ac:dyDescent="0.3">
      <c r="B233" s="11">
        <v>38500617594</v>
      </c>
      <c r="C233" t="s">
        <v>150</v>
      </c>
      <c r="D233" t="s">
        <v>6</v>
      </c>
      <c r="E233" t="s">
        <v>7</v>
      </c>
      <c r="F233" t="s">
        <v>11</v>
      </c>
      <c r="G233" t="s">
        <v>426</v>
      </c>
      <c r="H233" s="1">
        <v>32533</v>
      </c>
      <c r="I233" s="1" t="s">
        <v>432</v>
      </c>
      <c r="J233" t="s">
        <v>447</v>
      </c>
      <c r="K233" s="12">
        <v>79.900000000000006</v>
      </c>
      <c r="L233" s="14">
        <f ca="1">TRUNC((TODAY()-TabelaBase[[#This Row],[Data Nascimento]])/365)</f>
        <v>36</v>
      </c>
      <c r="M233" s="14" t="str">
        <f ca="1">HLOOKUP(TabelaBase[[#This Row],[Idade]],$O$3:$R$4,2,TRUE)</f>
        <v>35 - 44</v>
      </c>
    </row>
    <row r="234" spans="2:13" x14ac:dyDescent="0.3">
      <c r="B234" s="11">
        <v>38507330255</v>
      </c>
      <c r="C234" t="s">
        <v>161</v>
      </c>
      <c r="D234" t="s">
        <v>5</v>
      </c>
      <c r="E234" t="s">
        <v>417</v>
      </c>
      <c r="F234" t="s">
        <v>427</v>
      </c>
      <c r="G234" t="s">
        <v>425</v>
      </c>
      <c r="H234" s="1">
        <v>26164</v>
      </c>
      <c r="I234" s="1" t="s">
        <v>434</v>
      </c>
      <c r="J234" t="s">
        <v>445</v>
      </c>
      <c r="K234" s="12">
        <v>35.9</v>
      </c>
      <c r="L234" s="14">
        <f ca="1">TRUNC((TODAY()-TabelaBase[[#This Row],[Data Nascimento]])/365)</f>
        <v>54</v>
      </c>
      <c r="M234" s="14" t="str">
        <f ca="1">HLOOKUP(TabelaBase[[#This Row],[Idade]],$O$3:$R$4,2,TRUE)</f>
        <v>54-70</v>
      </c>
    </row>
    <row r="235" spans="2:13" x14ac:dyDescent="0.3">
      <c r="B235" s="11">
        <v>38563822180</v>
      </c>
      <c r="C235" t="s">
        <v>359</v>
      </c>
      <c r="D235" t="s">
        <v>5</v>
      </c>
      <c r="E235" t="s">
        <v>8</v>
      </c>
      <c r="F235" t="s">
        <v>427</v>
      </c>
      <c r="G235" t="s">
        <v>425</v>
      </c>
      <c r="H235" s="1">
        <v>28753</v>
      </c>
      <c r="I235" s="1" t="s">
        <v>430</v>
      </c>
      <c r="J235" t="s">
        <v>444</v>
      </c>
      <c r="K235" s="12">
        <v>29.9</v>
      </c>
      <c r="L235" s="14">
        <f ca="1">TRUNC((TODAY()-TabelaBase[[#This Row],[Data Nascimento]])/365)</f>
        <v>47</v>
      </c>
      <c r="M235" s="14" t="str">
        <f ca="1">HLOOKUP(TabelaBase[[#This Row],[Idade]],$O$3:$R$4,2,TRUE)</f>
        <v>44 - 54</v>
      </c>
    </row>
    <row r="236" spans="2:13" x14ac:dyDescent="0.3">
      <c r="B236" s="11">
        <v>38574789204</v>
      </c>
      <c r="C236" t="s">
        <v>210</v>
      </c>
      <c r="D236" t="s">
        <v>6</v>
      </c>
      <c r="E236" t="s">
        <v>7</v>
      </c>
      <c r="F236" t="s">
        <v>11</v>
      </c>
      <c r="G236" t="s">
        <v>426</v>
      </c>
      <c r="H236" s="1">
        <v>25487</v>
      </c>
      <c r="I236" s="1" t="s">
        <v>435</v>
      </c>
      <c r="J236" t="s">
        <v>447</v>
      </c>
      <c r="K236" s="12">
        <v>79.900000000000006</v>
      </c>
      <c r="L236" s="14">
        <f ca="1">TRUNC((TODAY()-TabelaBase[[#This Row],[Data Nascimento]])/365)</f>
        <v>56</v>
      </c>
      <c r="M236" s="14" t="str">
        <f ca="1">HLOOKUP(TabelaBase[[#This Row],[Idade]],$O$3:$R$4,2,TRUE)</f>
        <v>54-70</v>
      </c>
    </row>
    <row r="237" spans="2:13" x14ac:dyDescent="0.3">
      <c r="B237" s="11">
        <v>38720204448</v>
      </c>
      <c r="C237" t="s">
        <v>401</v>
      </c>
      <c r="D237" t="s">
        <v>6</v>
      </c>
      <c r="E237" t="s">
        <v>417</v>
      </c>
      <c r="F237" t="s">
        <v>427</v>
      </c>
      <c r="G237" t="s">
        <v>425</v>
      </c>
      <c r="H237" s="1">
        <v>30763</v>
      </c>
      <c r="I237" s="1" t="s">
        <v>436</v>
      </c>
      <c r="J237" t="s">
        <v>445</v>
      </c>
      <c r="K237" s="12">
        <v>35.9</v>
      </c>
      <c r="L237" s="14">
        <f ca="1">TRUNC((TODAY()-TabelaBase[[#This Row],[Data Nascimento]])/365)</f>
        <v>41</v>
      </c>
      <c r="M237" s="14" t="str">
        <f ca="1">HLOOKUP(TabelaBase[[#This Row],[Idade]],$O$3:$R$4,2,TRUE)</f>
        <v>35 - 44</v>
      </c>
    </row>
    <row r="238" spans="2:13" x14ac:dyDescent="0.3">
      <c r="B238" s="11">
        <v>38732340622</v>
      </c>
      <c r="C238" t="s">
        <v>44</v>
      </c>
      <c r="D238" t="s">
        <v>5</v>
      </c>
      <c r="E238" t="s">
        <v>418</v>
      </c>
      <c r="F238" t="s">
        <v>13</v>
      </c>
      <c r="G238" t="s">
        <v>425</v>
      </c>
      <c r="H238" s="1">
        <v>33741</v>
      </c>
      <c r="I238" s="1" t="s">
        <v>430</v>
      </c>
      <c r="J238" t="s">
        <v>446</v>
      </c>
      <c r="K238" s="12">
        <v>9.9</v>
      </c>
      <c r="L238" s="14">
        <f ca="1">TRUNC((TODAY()-TabelaBase[[#This Row],[Data Nascimento]])/365)</f>
        <v>33</v>
      </c>
      <c r="M238" s="14" t="str">
        <f ca="1">HLOOKUP(TabelaBase[[#This Row],[Idade]],$O$3:$R$4,2,TRUE)</f>
        <v>24-34</v>
      </c>
    </row>
    <row r="239" spans="2:13" x14ac:dyDescent="0.3">
      <c r="B239" s="11">
        <v>38738606466</v>
      </c>
      <c r="C239" t="s">
        <v>234</v>
      </c>
      <c r="D239" t="s">
        <v>6</v>
      </c>
      <c r="E239" t="s">
        <v>417</v>
      </c>
      <c r="F239" t="s">
        <v>11</v>
      </c>
      <c r="G239" t="s">
        <v>425</v>
      </c>
      <c r="H239" s="1">
        <v>35099</v>
      </c>
      <c r="I239" s="1" t="s">
        <v>435</v>
      </c>
      <c r="J239" t="s">
        <v>447</v>
      </c>
      <c r="K239" s="12">
        <v>79.900000000000006</v>
      </c>
      <c r="L239" s="14">
        <f ca="1">TRUNC((TODAY()-TabelaBase[[#This Row],[Data Nascimento]])/365)</f>
        <v>29</v>
      </c>
      <c r="M239" s="14" t="str">
        <f ca="1">HLOOKUP(TabelaBase[[#This Row],[Idade]],$O$3:$R$4,2,TRUE)</f>
        <v>24-34</v>
      </c>
    </row>
    <row r="240" spans="2:13" x14ac:dyDescent="0.3">
      <c r="B240" s="11">
        <v>38797538027</v>
      </c>
      <c r="C240" t="s">
        <v>284</v>
      </c>
      <c r="D240" t="s">
        <v>5</v>
      </c>
      <c r="E240" t="s">
        <v>418</v>
      </c>
      <c r="F240" t="s">
        <v>13</v>
      </c>
      <c r="G240" t="s">
        <v>425</v>
      </c>
      <c r="H240" s="1">
        <v>22596</v>
      </c>
      <c r="I240" s="1" t="s">
        <v>436</v>
      </c>
      <c r="J240" t="s">
        <v>446</v>
      </c>
      <c r="K240" s="12">
        <v>9.9</v>
      </c>
      <c r="L240" s="14">
        <f ca="1">TRUNC((TODAY()-TabelaBase[[#This Row],[Data Nascimento]])/365)</f>
        <v>64</v>
      </c>
      <c r="M240" s="14" t="str">
        <f ca="1">HLOOKUP(TabelaBase[[#This Row],[Idade]],$O$3:$R$4,2,TRUE)</f>
        <v>54-70</v>
      </c>
    </row>
    <row r="241" spans="2:13" x14ac:dyDescent="0.3">
      <c r="B241" s="11">
        <v>38804835975</v>
      </c>
      <c r="C241" t="s">
        <v>89</v>
      </c>
      <c r="D241" t="s">
        <v>6</v>
      </c>
      <c r="E241" t="s">
        <v>8</v>
      </c>
      <c r="F241" t="s">
        <v>427</v>
      </c>
      <c r="G241" t="s">
        <v>424</v>
      </c>
      <c r="H241" s="1">
        <v>31802</v>
      </c>
      <c r="I241" s="1" t="s">
        <v>433</v>
      </c>
      <c r="J241" t="s">
        <v>445</v>
      </c>
      <c r="K241" s="12">
        <v>35.9</v>
      </c>
      <c r="L241" s="14">
        <f ca="1">TRUNC((TODAY()-TabelaBase[[#This Row],[Data Nascimento]])/365)</f>
        <v>38</v>
      </c>
      <c r="M241" s="14" t="str">
        <f ca="1">HLOOKUP(TabelaBase[[#This Row],[Idade]],$O$3:$R$4,2,TRUE)</f>
        <v>35 - 44</v>
      </c>
    </row>
    <row r="242" spans="2:13" x14ac:dyDescent="0.3">
      <c r="B242" s="11">
        <v>39011685266</v>
      </c>
      <c r="C242" t="s">
        <v>109</v>
      </c>
      <c r="D242" t="s">
        <v>5</v>
      </c>
      <c r="E242" t="s">
        <v>8</v>
      </c>
      <c r="F242" t="s">
        <v>427</v>
      </c>
      <c r="G242" t="s">
        <v>425</v>
      </c>
      <c r="H242" s="1">
        <v>25075</v>
      </c>
      <c r="I242" s="1" t="s">
        <v>433</v>
      </c>
      <c r="J242" t="s">
        <v>445</v>
      </c>
      <c r="K242" s="12">
        <v>35.9</v>
      </c>
      <c r="L242" s="14">
        <f ca="1">TRUNC((TODAY()-TabelaBase[[#This Row],[Data Nascimento]])/365)</f>
        <v>57</v>
      </c>
      <c r="M242" s="14" t="str">
        <f ca="1">HLOOKUP(TabelaBase[[#This Row],[Idade]],$O$3:$R$4,2,TRUE)</f>
        <v>54-70</v>
      </c>
    </row>
    <row r="243" spans="2:13" x14ac:dyDescent="0.3">
      <c r="B243" s="11">
        <v>39016491455</v>
      </c>
      <c r="C243" t="s">
        <v>303</v>
      </c>
      <c r="D243" t="s">
        <v>5</v>
      </c>
      <c r="E243" t="s">
        <v>7</v>
      </c>
      <c r="F243" t="s">
        <v>9</v>
      </c>
      <c r="G243" t="s">
        <v>424</v>
      </c>
      <c r="H243" s="1">
        <v>27491</v>
      </c>
      <c r="I243" s="1" t="s">
        <v>433</v>
      </c>
      <c r="J243" t="s">
        <v>446</v>
      </c>
      <c r="K243" s="12">
        <v>9.9</v>
      </c>
      <c r="L243" s="14">
        <f ca="1">TRUNC((TODAY()-TabelaBase[[#This Row],[Data Nascimento]])/365)</f>
        <v>50</v>
      </c>
      <c r="M243" s="14" t="str">
        <f ca="1">HLOOKUP(TabelaBase[[#This Row],[Idade]],$O$3:$R$4,2,TRUE)</f>
        <v>44 - 54</v>
      </c>
    </row>
    <row r="244" spans="2:13" x14ac:dyDescent="0.3">
      <c r="B244" s="11">
        <v>39161320210</v>
      </c>
      <c r="C244" t="s">
        <v>134</v>
      </c>
      <c r="D244" t="s">
        <v>6</v>
      </c>
      <c r="E244" t="s">
        <v>417</v>
      </c>
      <c r="F244" t="s">
        <v>13</v>
      </c>
      <c r="G244" t="s">
        <v>425</v>
      </c>
      <c r="H244" s="1">
        <v>31562</v>
      </c>
      <c r="I244" s="1" t="s">
        <v>433</v>
      </c>
      <c r="J244" t="s">
        <v>446</v>
      </c>
      <c r="K244" s="12">
        <v>9.9</v>
      </c>
      <c r="L244" s="14">
        <f ca="1">TRUNC((TODAY()-TabelaBase[[#This Row],[Data Nascimento]])/365)</f>
        <v>39</v>
      </c>
      <c r="M244" s="14" t="str">
        <f ca="1">HLOOKUP(TabelaBase[[#This Row],[Idade]],$O$3:$R$4,2,TRUE)</f>
        <v>35 - 44</v>
      </c>
    </row>
    <row r="245" spans="2:13" x14ac:dyDescent="0.3">
      <c r="B245" s="11">
        <v>39205147195</v>
      </c>
      <c r="C245" t="s">
        <v>101</v>
      </c>
      <c r="D245" t="s">
        <v>6</v>
      </c>
      <c r="E245" t="s">
        <v>417</v>
      </c>
      <c r="F245" t="s">
        <v>427</v>
      </c>
      <c r="G245" t="s">
        <v>425</v>
      </c>
      <c r="H245" s="1">
        <v>20599</v>
      </c>
      <c r="I245" s="1" t="s">
        <v>433</v>
      </c>
      <c r="J245" t="s">
        <v>445</v>
      </c>
      <c r="K245" s="12">
        <v>35.9</v>
      </c>
      <c r="L245" s="14">
        <f ca="1">TRUNC((TODAY()-TabelaBase[[#This Row],[Data Nascimento]])/365)</f>
        <v>69</v>
      </c>
      <c r="M245" s="14" t="str">
        <f ca="1">HLOOKUP(TabelaBase[[#This Row],[Idade]],$O$3:$R$4,2,TRUE)</f>
        <v>54-70</v>
      </c>
    </row>
    <row r="246" spans="2:13" x14ac:dyDescent="0.3">
      <c r="B246" s="11">
        <v>39217268673</v>
      </c>
      <c r="C246" t="s">
        <v>31</v>
      </c>
      <c r="D246" t="s">
        <v>6</v>
      </c>
      <c r="E246" t="s">
        <v>417</v>
      </c>
      <c r="F246" t="s">
        <v>12</v>
      </c>
      <c r="G246" t="s">
        <v>424</v>
      </c>
      <c r="H246" s="1">
        <v>23872</v>
      </c>
      <c r="I246" s="1" t="s">
        <v>433</v>
      </c>
      <c r="J246" t="s">
        <v>447</v>
      </c>
      <c r="K246" s="12">
        <v>79.900000000000006</v>
      </c>
      <c r="L246" s="14">
        <f ca="1">TRUNC((TODAY()-TabelaBase[[#This Row],[Data Nascimento]])/365)</f>
        <v>60</v>
      </c>
      <c r="M246" s="14" t="str">
        <f ca="1">HLOOKUP(TabelaBase[[#This Row],[Idade]],$O$3:$R$4,2,TRUE)</f>
        <v>54-70</v>
      </c>
    </row>
    <row r="247" spans="2:13" x14ac:dyDescent="0.3">
      <c r="B247" s="11">
        <v>39300028907</v>
      </c>
      <c r="C247" t="s">
        <v>339</v>
      </c>
      <c r="D247" t="s">
        <v>6</v>
      </c>
      <c r="E247" t="s">
        <v>8</v>
      </c>
      <c r="F247" t="s">
        <v>9</v>
      </c>
      <c r="G247" t="s">
        <v>426</v>
      </c>
      <c r="H247" s="1">
        <v>20778</v>
      </c>
      <c r="I247" s="1" t="s">
        <v>433</v>
      </c>
      <c r="J247" t="s">
        <v>446</v>
      </c>
      <c r="K247" s="12">
        <v>9.9</v>
      </c>
      <c r="L247" s="14">
        <f ca="1">TRUNC((TODAY()-TabelaBase[[#This Row],[Data Nascimento]])/365)</f>
        <v>69</v>
      </c>
      <c r="M247" s="14" t="str">
        <f ca="1">HLOOKUP(TabelaBase[[#This Row],[Idade]],$O$3:$R$4,2,TRUE)</f>
        <v>54-70</v>
      </c>
    </row>
    <row r="248" spans="2:13" x14ac:dyDescent="0.3">
      <c r="B248" s="11">
        <v>39316864102</v>
      </c>
      <c r="C248" t="s">
        <v>126</v>
      </c>
      <c r="D248" t="s">
        <v>6</v>
      </c>
      <c r="E248" t="s">
        <v>417</v>
      </c>
      <c r="F248" t="s">
        <v>11</v>
      </c>
      <c r="G248" t="s">
        <v>426</v>
      </c>
      <c r="H248" s="1">
        <v>29399</v>
      </c>
      <c r="I248" s="1" t="s">
        <v>433</v>
      </c>
      <c r="J248" t="s">
        <v>447</v>
      </c>
      <c r="K248" s="12">
        <v>79.900000000000006</v>
      </c>
      <c r="L248" s="14">
        <f ca="1">TRUNC((TODAY()-TabelaBase[[#This Row],[Data Nascimento]])/365)</f>
        <v>45</v>
      </c>
      <c r="M248" s="14" t="str">
        <f ca="1">HLOOKUP(TabelaBase[[#This Row],[Idade]],$O$3:$R$4,2,TRUE)</f>
        <v>44 - 54</v>
      </c>
    </row>
    <row r="249" spans="2:13" x14ac:dyDescent="0.3">
      <c r="B249" s="11">
        <v>39357979099</v>
      </c>
      <c r="C249" t="s">
        <v>81</v>
      </c>
      <c r="D249" t="s">
        <v>6</v>
      </c>
      <c r="E249" t="s">
        <v>417</v>
      </c>
      <c r="F249" t="s">
        <v>427</v>
      </c>
      <c r="G249" t="s">
        <v>425</v>
      </c>
      <c r="H249" s="1">
        <v>28224</v>
      </c>
      <c r="I249" s="1" t="s">
        <v>433</v>
      </c>
      <c r="J249" t="s">
        <v>446</v>
      </c>
      <c r="K249" s="12">
        <v>9.9</v>
      </c>
      <c r="L249" s="14">
        <f ca="1">TRUNC((TODAY()-TabelaBase[[#This Row],[Data Nascimento]])/365)</f>
        <v>48</v>
      </c>
      <c r="M249" s="14" t="str">
        <f ca="1">HLOOKUP(TabelaBase[[#This Row],[Idade]],$O$3:$R$4,2,TRUE)</f>
        <v>44 - 54</v>
      </c>
    </row>
    <row r="250" spans="2:13" x14ac:dyDescent="0.3">
      <c r="B250" s="11">
        <v>39482642623</v>
      </c>
      <c r="C250" t="s">
        <v>25</v>
      </c>
      <c r="D250" t="s">
        <v>6</v>
      </c>
      <c r="E250" t="s">
        <v>7</v>
      </c>
      <c r="F250" t="s">
        <v>12</v>
      </c>
      <c r="G250" t="s">
        <v>425</v>
      </c>
      <c r="H250" s="1">
        <v>25330</v>
      </c>
      <c r="I250" s="1" t="s">
        <v>429</v>
      </c>
      <c r="J250" t="s">
        <v>445</v>
      </c>
      <c r="K250" s="12">
        <v>35.9</v>
      </c>
      <c r="L250" s="14">
        <f ca="1">TRUNC((TODAY()-TabelaBase[[#This Row],[Data Nascimento]])/365)</f>
        <v>56</v>
      </c>
      <c r="M250" s="14" t="str">
        <f ca="1">HLOOKUP(TabelaBase[[#This Row],[Idade]],$O$3:$R$4,2,TRUE)</f>
        <v>54-70</v>
      </c>
    </row>
    <row r="251" spans="2:13" x14ac:dyDescent="0.3">
      <c r="B251" s="11">
        <v>39613225496</v>
      </c>
      <c r="C251" t="s">
        <v>371</v>
      </c>
      <c r="D251" t="s">
        <v>6</v>
      </c>
      <c r="E251" t="s">
        <v>416</v>
      </c>
      <c r="F251" t="s">
        <v>13</v>
      </c>
      <c r="G251" t="s">
        <v>424</v>
      </c>
      <c r="H251" s="1">
        <v>26673</v>
      </c>
      <c r="I251" s="1" t="s">
        <v>432</v>
      </c>
      <c r="J251" t="s">
        <v>444</v>
      </c>
      <c r="K251" s="12">
        <v>29.9</v>
      </c>
      <c r="L251" s="14">
        <f ca="1">TRUNC((TODAY()-TabelaBase[[#This Row],[Data Nascimento]])/365)</f>
        <v>53</v>
      </c>
      <c r="M251" s="14" t="str">
        <f ca="1">HLOOKUP(TabelaBase[[#This Row],[Idade]],$O$3:$R$4,2,TRUE)</f>
        <v>44 - 54</v>
      </c>
    </row>
    <row r="252" spans="2:13" x14ac:dyDescent="0.3">
      <c r="B252" s="11">
        <v>39632140009</v>
      </c>
      <c r="C252" t="s">
        <v>100</v>
      </c>
      <c r="D252" t="s">
        <v>6</v>
      </c>
      <c r="E252" t="s">
        <v>7</v>
      </c>
      <c r="F252" t="s">
        <v>14</v>
      </c>
      <c r="G252" t="s">
        <v>425</v>
      </c>
      <c r="H252" s="1">
        <v>32081</v>
      </c>
      <c r="I252" s="1" t="s">
        <v>436</v>
      </c>
      <c r="J252" t="s">
        <v>444</v>
      </c>
      <c r="K252" s="12">
        <v>29.9</v>
      </c>
      <c r="L252" s="14">
        <f ca="1">TRUNC((TODAY()-TabelaBase[[#This Row],[Data Nascimento]])/365)</f>
        <v>38</v>
      </c>
      <c r="M252" s="14" t="str">
        <f ca="1">HLOOKUP(TabelaBase[[#This Row],[Idade]],$O$3:$R$4,2,TRUE)</f>
        <v>35 - 44</v>
      </c>
    </row>
    <row r="253" spans="2:13" x14ac:dyDescent="0.3">
      <c r="B253" s="11">
        <v>39660449593</v>
      </c>
      <c r="C253" t="s">
        <v>291</v>
      </c>
      <c r="D253" t="s">
        <v>5</v>
      </c>
      <c r="E253" t="s">
        <v>416</v>
      </c>
      <c r="F253" t="s">
        <v>9</v>
      </c>
      <c r="G253" t="s">
        <v>424</v>
      </c>
      <c r="H253" s="1">
        <v>33937</v>
      </c>
      <c r="I253" s="1" t="s">
        <v>436</v>
      </c>
      <c r="J253" t="s">
        <v>446</v>
      </c>
      <c r="K253" s="12">
        <v>9.9</v>
      </c>
      <c r="L253" s="14">
        <f ca="1">TRUNC((TODAY()-TabelaBase[[#This Row],[Data Nascimento]])/365)</f>
        <v>33</v>
      </c>
      <c r="M253" s="14" t="str">
        <f ca="1">HLOOKUP(TabelaBase[[#This Row],[Idade]],$O$3:$R$4,2,TRUE)</f>
        <v>24-34</v>
      </c>
    </row>
    <row r="254" spans="2:13" x14ac:dyDescent="0.3">
      <c r="B254" s="11">
        <v>39678618932</v>
      </c>
      <c r="C254" t="s">
        <v>72</v>
      </c>
      <c r="D254" t="s">
        <v>5</v>
      </c>
      <c r="E254" t="s">
        <v>8</v>
      </c>
      <c r="F254" t="s">
        <v>13</v>
      </c>
      <c r="G254" t="s">
        <v>425</v>
      </c>
      <c r="H254" s="1">
        <v>27621</v>
      </c>
      <c r="I254" s="1" t="s">
        <v>436</v>
      </c>
      <c r="J254" t="s">
        <v>445</v>
      </c>
      <c r="K254" s="12">
        <v>35.9</v>
      </c>
      <c r="L254" s="14">
        <f ca="1">TRUNC((TODAY()-TabelaBase[[#This Row],[Data Nascimento]])/365)</f>
        <v>50</v>
      </c>
      <c r="M254" s="14" t="str">
        <f ca="1">HLOOKUP(TabelaBase[[#This Row],[Idade]],$O$3:$R$4,2,TRUE)</f>
        <v>44 - 54</v>
      </c>
    </row>
    <row r="255" spans="2:13" x14ac:dyDescent="0.3">
      <c r="B255" s="11">
        <v>39680758592</v>
      </c>
      <c r="C255" t="s">
        <v>45</v>
      </c>
      <c r="D255" t="s">
        <v>6</v>
      </c>
      <c r="E255" t="s">
        <v>7</v>
      </c>
      <c r="F255" t="s">
        <v>427</v>
      </c>
      <c r="G255" t="s">
        <v>425</v>
      </c>
      <c r="H255" s="1">
        <v>32253</v>
      </c>
      <c r="I255" s="1" t="s">
        <v>436</v>
      </c>
      <c r="J255" t="s">
        <v>446</v>
      </c>
      <c r="K255" s="12">
        <v>9.9</v>
      </c>
      <c r="L255" s="14">
        <f ca="1">TRUNC((TODAY()-TabelaBase[[#This Row],[Data Nascimento]])/365)</f>
        <v>37</v>
      </c>
      <c r="M255" s="14" t="str">
        <f ca="1">HLOOKUP(TabelaBase[[#This Row],[Idade]],$O$3:$R$4,2,TRUE)</f>
        <v>35 - 44</v>
      </c>
    </row>
    <row r="256" spans="2:13" x14ac:dyDescent="0.3">
      <c r="B256" s="11">
        <v>39721320066</v>
      </c>
      <c r="C256" t="s">
        <v>239</v>
      </c>
      <c r="D256" t="s">
        <v>5</v>
      </c>
      <c r="E256" t="s">
        <v>8</v>
      </c>
      <c r="F256" t="s">
        <v>427</v>
      </c>
      <c r="G256" t="s">
        <v>425</v>
      </c>
      <c r="H256" s="1">
        <v>25660</v>
      </c>
      <c r="I256" s="1" t="s">
        <v>436</v>
      </c>
      <c r="J256" t="s">
        <v>444</v>
      </c>
      <c r="K256" s="12">
        <v>29.9</v>
      </c>
      <c r="L256" s="14">
        <f ca="1">TRUNC((TODAY()-TabelaBase[[#This Row],[Data Nascimento]])/365)</f>
        <v>55</v>
      </c>
      <c r="M256" s="14" t="str">
        <f ca="1">HLOOKUP(TabelaBase[[#This Row],[Idade]],$O$3:$R$4,2,TRUE)</f>
        <v>54-70</v>
      </c>
    </row>
    <row r="257" spans="2:13" x14ac:dyDescent="0.3">
      <c r="B257" s="11">
        <v>39724964915</v>
      </c>
      <c r="C257" t="s">
        <v>234</v>
      </c>
      <c r="D257" t="s">
        <v>6</v>
      </c>
      <c r="E257" t="s">
        <v>416</v>
      </c>
      <c r="F257" t="s">
        <v>11</v>
      </c>
      <c r="G257" t="s">
        <v>425</v>
      </c>
      <c r="H257" s="1">
        <v>24044</v>
      </c>
      <c r="I257" s="1" t="s">
        <v>436</v>
      </c>
      <c r="J257" t="s">
        <v>447</v>
      </c>
      <c r="K257" s="12">
        <v>79.900000000000006</v>
      </c>
      <c r="L257" s="14">
        <f ca="1">TRUNC((TODAY()-TabelaBase[[#This Row],[Data Nascimento]])/365)</f>
        <v>60</v>
      </c>
      <c r="M257" s="14" t="str">
        <f ca="1">HLOOKUP(TabelaBase[[#This Row],[Idade]],$O$3:$R$4,2,TRUE)</f>
        <v>54-70</v>
      </c>
    </row>
    <row r="258" spans="2:13" x14ac:dyDescent="0.3">
      <c r="B258" s="11">
        <v>39816227977</v>
      </c>
      <c r="C258" t="s">
        <v>301</v>
      </c>
      <c r="D258" t="s">
        <v>5</v>
      </c>
      <c r="E258" t="s">
        <v>417</v>
      </c>
      <c r="F258" t="s">
        <v>427</v>
      </c>
      <c r="G258" t="s">
        <v>425</v>
      </c>
      <c r="H258" s="1">
        <v>27162</v>
      </c>
      <c r="I258" s="1" t="s">
        <v>435</v>
      </c>
      <c r="J258" t="s">
        <v>445</v>
      </c>
      <c r="K258" s="12">
        <v>35.9</v>
      </c>
      <c r="L258" s="14">
        <f ca="1">TRUNC((TODAY()-TabelaBase[[#This Row],[Data Nascimento]])/365)</f>
        <v>51</v>
      </c>
      <c r="M258" s="14" t="str">
        <f ca="1">HLOOKUP(TabelaBase[[#This Row],[Idade]],$O$3:$R$4,2,TRUE)</f>
        <v>44 - 54</v>
      </c>
    </row>
    <row r="259" spans="2:13" x14ac:dyDescent="0.3">
      <c r="B259" s="11">
        <v>39864520583</v>
      </c>
      <c r="C259" t="s">
        <v>17</v>
      </c>
      <c r="D259" t="s">
        <v>6</v>
      </c>
      <c r="E259" t="s">
        <v>7</v>
      </c>
      <c r="F259" t="s">
        <v>427</v>
      </c>
      <c r="G259" t="s">
        <v>425</v>
      </c>
      <c r="H259" s="1">
        <v>34689</v>
      </c>
      <c r="I259" s="1" t="s">
        <v>433</v>
      </c>
      <c r="J259" t="s">
        <v>445</v>
      </c>
      <c r="K259" s="12">
        <v>35.9</v>
      </c>
      <c r="L259" s="14">
        <f ca="1">TRUNC((TODAY()-TabelaBase[[#This Row],[Data Nascimento]])/365)</f>
        <v>31</v>
      </c>
      <c r="M259" s="14" t="str">
        <f ca="1">HLOOKUP(TabelaBase[[#This Row],[Idade]],$O$3:$R$4,2,TRUE)</f>
        <v>24-34</v>
      </c>
    </row>
    <row r="260" spans="2:13" x14ac:dyDescent="0.3">
      <c r="B260" s="11">
        <v>40059307494</v>
      </c>
      <c r="C260" t="s">
        <v>160</v>
      </c>
      <c r="D260" t="s">
        <v>5</v>
      </c>
      <c r="E260" t="s">
        <v>7</v>
      </c>
      <c r="F260" t="s">
        <v>14</v>
      </c>
      <c r="G260" t="s">
        <v>426</v>
      </c>
      <c r="H260" s="1">
        <v>20239</v>
      </c>
      <c r="I260" s="1" t="s">
        <v>433</v>
      </c>
      <c r="J260" t="s">
        <v>444</v>
      </c>
      <c r="K260" s="12">
        <v>29.9</v>
      </c>
      <c r="L260" s="14">
        <f ca="1">TRUNC((TODAY()-TabelaBase[[#This Row],[Data Nascimento]])/365)</f>
        <v>70</v>
      </c>
      <c r="M260" s="14" t="str">
        <f ca="1">HLOOKUP(TabelaBase[[#This Row],[Idade]],$O$3:$R$4,2,TRUE)</f>
        <v>54-70</v>
      </c>
    </row>
    <row r="261" spans="2:13" x14ac:dyDescent="0.3">
      <c r="B261" s="11">
        <v>40159055249</v>
      </c>
      <c r="C261" t="s">
        <v>350</v>
      </c>
      <c r="D261" t="s">
        <v>6</v>
      </c>
      <c r="E261" t="s">
        <v>7</v>
      </c>
      <c r="F261" t="s">
        <v>13</v>
      </c>
      <c r="G261" t="s">
        <v>426</v>
      </c>
      <c r="H261" s="1">
        <v>26165</v>
      </c>
      <c r="I261" s="1" t="s">
        <v>433</v>
      </c>
      <c r="J261" t="s">
        <v>446</v>
      </c>
      <c r="K261" s="12">
        <v>9.9</v>
      </c>
      <c r="L261" s="14">
        <f ca="1">TRUNC((TODAY()-TabelaBase[[#This Row],[Data Nascimento]])/365)</f>
        <v>54</v>
      </c>
      <c r="M261" s="14" t="str">
        <f ca="1">HLOOKUP(TabelaBase[[#This Row],[Idade]],$O$3:$R$4,2,TRUE)</f>
        <v>54-70</v>
      </c>
    </row>
    <row r="262" spans="2:13" x14ac:dyDescent="0.3">
      <c r="B262" s="11">
        <v>40164211200</v>
      </c>
      <c r="C262" t="s">
        <v>65</v>
      </c>
      <c r="D262" t="s">
        <v>6</v>
      </c>
      <c r="E262" t="s">
        <v>7</v>
      </c>
      <c r="F262" t="s">
        <v>427</v>
      </c>
      <c r="G262" t="s">
        <v>425</v>
      </c>
      <c r="H262" s="1">
        <v>21293</v>
      </c>
      <c r="I262" s="1" t="s">
        <v>433</v>
      </c>
      <c r="J262" t="s">
        <v>445</v>
      </c>
      <c r="K262" s="12">
        <v>35.9</v>
      </c>
      <c r="L262" s="14">
        <f ca="1">TRUNC((TODAY()-TabelaBase[[#This Row],[Data Nascimento]])/365)</f>
        <v>67</v>
      </c>
      <c r="M262" s="14" t="str">
        <f ca="1">HLOOKUP(TabelaBase[[#This Row],[Idade]],$O$3:$R$4,2,TRUE)</f>
        <v>54-70</v>
      </c>
    </row>
    <row r="263" spans="2:13" x14ac:dyDescent="0.3">
      <c r="B263" s="11">
        <v>40243096179</v>
      </c>
      <c r="C263" t="s">
        <v>203</v>
      </c>
      <c r="D263" t="s">
        <v>5</v>
      </c>
      <c r="E263" t="s">
        <v>7</v>
      </c>
      <c r="F263" t="s">
        <v>13</v>
      </c>
      <c r="G263" t="s">
        <v>425</v>
      </c>
      <c r="H263" s="1">
        <v>24009</v>
      </c>
      <c r="I263" s="1" t="s">
        <v>433</v>
      </c>
      <c r="J263" t="s">
        <v>444</v>
      </c>
      <c r="K263" s="12">
        <v>29.9</v>
      </c>
      <c r="L263" s="14">
        <f ca="1">TRUNC((TODAY()-TabelaBase[[#This Row],[Data Nascimento]])/365)</f>
        <v>60</v>
      </c>
      <c r="M263" s="14" t="str">
        <f ca="1">HLOOKUP(TabelaBase[[#This Row],[Idade]],$O$3:$R$4,2,TRUE)</f>
        <v>54-70</v>
      </c>
    </row>
    <row r="264" spans="2:13" x14ac:dyDescent="0.3">
      <c r="B264" s="11">
        <v>40248631760</v>
      </c>
      <c r="C264" t="s">
        <v>158</v>
      </c>
      <c r="D264" t="s">
        <v>5</v>
      </c>
      <c r="E264" t="s">
        <v>417</v>
      </c>
      <c r="F264" t="s">
        <v>13</v>
      </c>
      <c r="G264" t="s">
        <v>426</v>
      </c>
      <c r="H264" s="1">
        <v>34838</v>
      </c>
      <c r="I264" s="1" t="s">
        <v>430</v>
      </c>
      <c r="J264" t="s">
        <v>446</v>
      </c>
      <c r="K264" s="12">
        <v>9.9</v>
      </c>
      <c r="L264" s="14">
        <f ca="1">TRUNC((TODAY()-TabelaBase[[#This Row],[Data Nascimento]])/365)</f>
        <v>30</v>
      </c>
      <c r="M264" s="14" t="str">
        <f ca="1">HLOOKUP(TabelaBase[[#This Row],[Idade]],$O$3:$R$4,2,TRUE)</f>
        <v>24-34</v>
      </c>
    </row>
    <row r="265" spans="2:13" x14ac:dyDescent="0.3">
      <c r="B265" s="11">
        <v>40397347853</v>
      </c>
      <c r="C265" t="s">
        <v>295</v>
      </c>
      <c r="D265" t="s">
        <v>6</v>
      </c>
      <c r="E265" t="s">
        <v>417</v>
      </c>
      <c r="F265" t="s">
        <v>12</v>
      </c>
      <c r="G265" t="s">
        <v>425</v>
      </c>
      <c r="H265" s="1">
        <v>31951</v>
      </c>
      <c r="I265" s="1" t="s">
        <v>429</v>
      </c>
      <c r="J265" t="s">
        <v>447</v>
      </c>
      <c r="K265" s="12">
        <v>79.900000000000006</v>
      </c>
      <c r="L265" s="14">
        <f ca="1">TRUNC((TODAY()-TabelaBase[[#This Row],[Data Nascimento]])/365)</f>
        <v>38</v>
      </c>
      <c r="M265" s="14" t="str">
        <f ca="1">HLOOKUP(TabelaBase[[#This Row],[Idade]],$O$3:$R$4,2,TRUE)</f>
        <v>35 - 44</v>
      </c>
    </row>
    <row r="266" spans="2:13" x14ac:dyDescent="0.3">
      <c r="B266" s="11">
        <v>40622214948</v>
      </c>
      <c r="C266" t="s">
        <v>402</v>
      </c>
      <c r="D266" t="s">
        <v>5</v>
      </c>
      <c r="E266" t="s">
        <v>8</v>
      </c>
      <c r="F266" t="s">
        <v>11</v>
      </c>
      <c r="G266" t="s">
        <v>424</v>
      </c>
      <c r="H266" s="1">
        <v>31476</v>
      </c>
      <c r="I266" s="1" t="s">
        <v>431</v>
      </c>
      <c r="J266" t="s">
        <v>447</v>
      </c>
      <c r="K266" s="12">
        <v>79.900000000000006</v>
      </c>
      <c r="L266" s="14">
        <f ca="1">TRUNC((TODAY()-TabelaBase[[#This Row],[Data Nascimento]])/365)</f>
        <v>39</v>
      </c>
      <c r="M266" s="14" t="str">
        <f ca="1">HLOOKUP(TabelaBase[[#This Row],[Idade]],$O$3:$R$4,2,TRUE)</f>
        <v>35 - 44</v>
      </c>
    </row>
    <row r="267" spans="2:13" x14ac:dyDescent="0.3">
      <c r="B267" s="11">
        <v>40810919120</v>
      </c>
      <c r="C267" t="s">
        <v>120</v>
      </c>
      <c r="D267" t="s">
        <v>6</v>
      </c>
      <c r="E267" t="s">
        <v>7</v>
      </c>
      <c r="F267" t="s">
        <v>13</v>
      </c>
      <c r="G267" t="s">
        <v>426</v>
      </c>
      <c r="H267" s="1">
        <v>22131</v>
      </c>
      <c r="I267" s="1" t="s">
        <v>432</v>
      </c>
      <c r="J267" t="s">
        <v>445</v>
      </c>
      <c r="K267" s="12">
        <v>35.9</v>
      </c>
      <c r="L267" s="14">
        <f ca="1">TRUNC((TODAY()-TabelaBase[[#This Row],[Data Nascimento]])/365)</f>
        <v>65</v>
      </c>
      <c r="M267" s="14" t="str">
        <f ca="1">HLOOKUP(TabelaBase[[#This Row],[Idade]],$O$3:$R$4,2,TRUE)</f>
        <v>54-70</v>
      </c>
    </row>
    <row r="268" spans="2:13" x14ac:dyDescent="0.3">
      <c r="B268" s="11">
        <v>40891216129</v>
      </c>
      <c r="C268" t="s">
        <v>188</v>
      </c>
      <c r="D268" t="s">
        <v>5</v>
      </c>
      <c r="E268" t="s">
        <v>416</v>
      </c>
      <c r="F268" t="s">
        <v>13</v>
      </c>
      <c r="G268" t="s">
        <v>425</v>
      </c>
      <c r="H268" s="1">
        <v>30703</v>
      </c>
      <c r="I268" s="1" t="s">
        <v>434</v>
      </c>
      <c r="J268" t="s">
        <v>446</v>
      </c>
      <c r="K268" s="12">
        <v>9.9</v>
      </c>
      <c r="L268" s="14">
        <f ca="1">TRUNC((TODAY()-TabelaBase[[#This Row],[Data Nascimento]])/365)</f>
        <v>42</v>
      </c>
      <c r="M268" s="14" t="str">
        <f ca="1">HLOOKUP(TabelaBase[[#This Row],[Idade]],$O$3:$R$4,2,TRUE)</f>
        <v>35 - 44</v>
      </c>
    </row>
    <row r="269" spans="2:13" x14ac:dyDescent="0.3">
      <c r="B269" s="11">
        <v>40907557618</v>
      </c>
      <c r="C269" t="s">
        <v>373</v>
      </c>
      <c r="D269" t="s">
        <v>6</v>
      </c>
      <c r="E269" t="s">
        <v>7</v>
      </c>
      <c r="F269" t="s">
        <v>427</v>
      </c>
      <c r="G269" t="s">
        <v>424</v>
      </c>
      <c r="H269" s="1">
        <v>26700</v>
      </c>
      <c r="I269" s="1" t="s">
        <v>430</v>
      </c>
      <c r="J269" t="s">
        <v>445</v>
      </c>
      <c r="K269" s="12">
        <v>35.9</v>
      </c>
      <c r="L269" s="14">
        <f ca="1">TRUNC((TODAY()-TabelaBase[[#This Row],[Data Nascimento]])/365)</f>
        <v>52</v>
      </c>
      <c r="M269" s="14" t="str">
        <f ca="1">HLOOKUP(TabelaBase[[#This Row],[Idade]],$O$3:$R$4,2,TRUE)</f>
        <v>44 - 54</v>
      </c>
    </row>
    <row r="270" spans="2:13" x14ac:dyDescent="0.3">
      <c r="B270" s="11">
        <v>40955062884</v>
      </c>
      <c r="C270" t="s">
        <v>146</v>
      </c>
      <c r="D270" t="s">
        <v>6</v>
      </c>
      <c r="E270" t="s">
        <v>417</v>
      </c>
      <c r="F270" t="s">
        <v>13</v>
      </c>
      <c r="G270" t="s">
        <v>425</v>
      </c>
      <c r="H270" s="1">
        <v>33976</v>
      </c>
      <c r="I270" s="1" t="s">
        <v>435</v>
      </c>
      <c r="J270" t="s">
        <v>447</v>
      </c>
      <c r="K270" s="12">
        <v>79.900000000000006</v>
      </c>
      <c r="L270" s="14">
        <f ca="1">TRUNC((TODAY()-TabelaBase[[#This Row],[Data Nascimento]])/365)</f>
        <v>33</v>
      </c>
      <c r="M270" s="14" t="str">
        <f ca="1">HLOOKUP(TabelaBase[[#This Row],[Idade]],$O$3:$R$4,2,TRUE)</f>
        <v>24-34</v>
      </c>
    </row>
    <row r="271" spans="2:13" x14ac:dyDescent="0.3">
      <c r="B271" s="11">
        <v>41027808363</v>
      </c>
      <c r="C271" t="s">
        <v>289</v>
      </c>
      <c r="D271" t="s">
        <v>5</v>
      </c>
      <c r="E271" t="s">
        <v>8</v>
      </c>
      <c r="F271" t="s">
        <v>12</v>
      </c>
      <c r="G271" t="s">
        <v>424</v>
      </c>
      <c r="H271" s="1">
        <v>31284</v>
      </c>
      <c r="I271" s="1" t="s">
        <v>436</v>
      </c>
      <c r="J271" t="s">
        <v>445</v>
      </c>
      <c r="K271" s="12">
        <v>35.9</v>
      </c>
      <c r="L271" s="14">
        <f ca="1">TRUNC((TODAY()-TabelaBase[[#This Row],[Data Nascimento]])/365)</f>
        <v>40</v>
      </c>
      <c r="M271" s="14" t="str">
        <f ca="1">HLOOKUP(TabelaBase[[#This Row],[Idade]],$O$3:$R$4,2,TRUE)</f>
        <v>35 - 44</v>
      </c>
    </row>
    <row r="272" spans="2:13" x14ac:dyDescent="0.3">
      <c r="B272" s="11">
        <v>41038445189</v>
      </c>
      <c r="C272" t="s">
        <v>66</v>
      </c>
      <c r="D272" t="s">
        <v>5</v>
      </c>
      <c r="E272" t="s">
        <v>417</v>
      </c>
      <c r="F272" t="s">
        <v>11</v>
      </c>
      <c r="G272" t="s">
        <v>426</v>
      </c>
      <c r="H272" s="1">
        <v>30962</v>
      </c>
      <c r="I272" s="1" t="s">
        <v>430</v>
      </c>
      <c r="J272" t="s">
        <v>447</v>
      </c>
      <c r="K272" s="12">
        <v>79.900000000000006</v>
      </c>
      <c r="L272" s="14">
        <f ca="1">TRUNC((TODAY()-TabelaBase[[#This Row],[Data Nascimento]])/365)</f>
        <v>41</v>
      </c>
      <c r="M272" s="14" t="str">
        <f ca="1">HLOOKUP(TabelaBase[[#This Row],[Idade]],$O$3:$R$4,2,TRUE)</f>
        <v>35 - 44</v>
      </c>
    </row>
    <row r="273" spans="2:13" x14ac:dyDescent="0.3">
      <c r="B273" s="11">
        <v>41107442085</v>
      </c>
      <c r="C273" t="s">
        <v>324</v>
      </c>
      <c r="D273" t="s">
        <v>6</v>
      </c>
      <c r="E273" t="s">
        <v>418</v>
      </c>
      <c r="F273" t="s">
        <v>13</v>
      </c>
      <c r="G273" t="s">
        <v>425</v>
      </c>
      <c r="H273" s="1">
        <v>23139</v>
      </c>
      <c r="I273" s="1" t="s">
        <v>435</v>
      </c>
      <c r="J273" t="s">
        <v>446</v>
      </c>
      <c r="K273" s="12">
        <v>9.9</v>
      </c>
      <c r="L273" s="14">
        <f ca="1">TRUNC((TODAY()-TabelaBase[[#This Row],[Data Nascimento]])/365)</f>
        <v>62</v>
      </c>
      <c r="M273" s="14" t="str">
        <f ca="1">HLOOKUP(TabelaBase[[#This Row],[Idade]],$O$3:$R$4,2,TRUE)</f>
        <v>54-70</v>
      </c>
    </row>
    <row r="274" spans="2:13" x14ac:dyDescent="0.3">
      <c r="B274" s="11">
        <v>41158621693</v>
      </c>
      <c r="C274" t="s">
        <v>106</v>
      </c>
      <c r="D274" t="s">
        <v>6</v>
      </c>
      <c r="E274" t="s">
        <v>417</v>
      </c>
      <c r="F274" t="s">
        <v>14</v>
      </c>
      <c r="G274" t="s">
        <v>426</v>
      </c>
      <c r="H274" s="1">
        <v>29118</v>
      </c>
      <c r="I274" s="1" t="s">
        <v>436</v>
      </c>
      <c r="J274" t="s">
        <v>444</v>
      </c>
      <c r="K274" s="12">
        <v>29.9</v>
      </c>
      <c r="L274" s="14">
        <f ca="1">TRUNC((TODAY()-TabelaBase[[#This Row],[Data Nascimento]])/365)</f>
        <v>46</v>
      </c>
      <c r="M274" s="14" t="str">
        <f ca="1">HLOOKUP(TabelaBase[[#This Row],[Idade]],$O$3:$R$4,2,TRUE)</f>
        <v>44 - 54</v>
      </c>
    </row>
    <row r="275" spans="2:13" x14ac:dyDescent="0.3">
      <c r="B275" s="11">
        <v>41215776974</v>
      </c>
      <c r="C275" t="s">
        <v>220</v>
      </c>
      <c r="D275" t="s">
        <v>6</v>
      </c>
      <c r="E275" t="s">
        <v>7</v>
      </c>
      <c r="F275" t="s">
        <v>14</v>
      </c>
      <c r="G275" t="s">
        <v>425</v>
      </c>
      <c r="H275" s="1">
        <v>27732</v>
      </c>
      <c r="I275" s="1" t="s">
        <v>433</v>
      </c>
      <c r="J275" t="s">
        <v>444</v>
      </c>
      <c r="K275" s="12">
        <v>29.9</v>
      </c>
      <c r="L275" s="14">
        <f ca="1">TRUNC((TODAY()-TabelaBase[[#This Row],[Data Nascimento]])/365)</f>
        <v>50</v>
      </c>
      <c r="M275" s="14" t="str">
        <f ca="1">HLOOKUP(TabelaBase[[#This Row],[Idade]],$O$3:$R$4,2,TRUE)</f>
        <v>44 - 54</v>
      </c>
    </row>
    <row r="276" spans="2:13" x14ac:dyDescent="0.3">
      <c r="B276" s="11">
        <v>41339088783</v>
      </c>
      <c r="C276" t="s">
        <v>379</v>
      </c>
      <c r="D276" t="s">
        <v>6</v>
      </c>
      <c r="E276" t="s">
        <v>8</v>
      </c>
      <c r="F276" t="s">
        <v>12</v>
      </c>
      <c r="G276" t="s">
        <v>426</v>
      </c>
      <c r="H276" s="1">
        <v>25150</v>
      </c>
      <c r="I276" s="1" t="s">
        <v>433</v>
      </c>
      <c r="J276" t="s">
        <v>446</v>
      </c>
      <c r="K276" s="12">
        <v>9.9</v>
      </c>
      <c r="L276" s="14">
        <f ca="1">TRUNC((TODAY()-TabelaBase[[#This Row],[Data Nascimento]])/365)</f>
        <v>57</v>
      </c>
      <c r="M276" s="14" t="str">
        <f ca="1">HLOOKUP(TabelaBase[[#This Row],[Idade]],$O$3:$R$4,2,TRUE)</f>
        <v>54-70</v>
      </c>
    </row>
    <row r="277" spans="2:13" x14ac:dyDescent="0.3">
      <c r="B277" s="11">
        <v>41353457861</v>
      </c>
      <c r="C277" t="s">
        <v>392</v>
      </c>
      <c r="D277" t="s">
        <v>5</v>
      </c>
      <c r="E277" t="s">
        <v>8</v>
      </c>
      <c r="F277" t="s">
        <v>13</v>
      </c>
      <c r="G277" t="s">
        <v>425</v>
      </c>
      <c r="H277" s="1">
        <v>34552</v>
      </c>
      <c r="I277" s="1" t="s">
        <v>433</v>
      </c>
      <c r="J277" t="s">
        <v>444</v>
      </c>
      <c r="K277" s="12">
        <v>29.9</v>
      </c>
      <c r="L277" s="14">
        <f ca="1">TRUNC((TODAY()-TabelaBase[[#This Row],[Data Nascimento]])/365)</f>
        <v>31</v>
      </c>
      <c r="M277" s="14" t="str">
        <f ca="1">HLOOKUP(TabelaBase[[#This Row],[Idade]],$O$3:$R$4,2,TRUE)</f>
        <v>24-34</v>
      </c>
    </row>
    <row r="278" spans="2:13" x14ac:dyDescent="0.3">
      <c r="B278" s="11">
        <v>41369590305</v>
      </c>
      <c r="C278" t="s">
        <v>175</v>
      </c>
      <c r="D278" t="s">
        <v>6</v>
      </c>
      <c r="E278" t="s">
        <v>417</v>
      </c>
      <c r="F278" t="s">
        <v>12</v>
      </c>
      <c r="G278" t="s">
        <v>425</v>
      </c>
      <c r="H278" s="1">
        <v>27201</v>
      </c>
      <c r="I278" s="1" t="s">
        <v>433</v>
      </c>
      <c r="J278" t="s">
        <v>447</v>
      </c>
      <c r="K278" s="12">
        <v>79.900000000000006</v>
      </c>
      <c r="L278" s="14">
        <f ca="1">TRUNC((TODAY()-TabelaBase[[#This Row],[Data Nascimento]])/365)</f>
        <v>51</v>
      </c>
      <c r="M278" s="14" t="str">
        <f ca="1">HLOOKUP(TabelaBase[[#This Row],[Idade]],$O$3:$R$4,2,TRUE)</f>
        <v>44 - 54</v>
      </c>
    </row>
    <row r="279" spans="2:13" x14ac:dyDescent="0.3">
      <c r="B279" s="11">
        <v>41395444838</v>
      </c>
      <c r="C279" t="s">
        <v>104</v>
      </c>
      <c r="D279" t="s">
        <v>6</v>
      </c>
      <c r="E279" t="s">
        <v>417</v>
      </c>
      <c r="F279" t="s">
        <v>13</v>
      </c>
      <c r="G279" t="s">
        <v>425</v>
      </c>
      <c r="H279" s="1">
        <v>20720</v>
      </c>
      <c r="I279" s="1" t="s">
        <v>433</v>
      </c>
      <c r="J279" t="s">
        <v>444</v>
      </c>
      <c r="K279" s="12">
        <v>29.9</v>
      </c>
      <c r="L279" s="14">
        <f ca="1">TRUNC((TODAY()-TabelaBase[[#This Row],[Data Nascimento]])/365)</f>
        <v>69</v>
      </c>
      <c r="M279" s="14" t="str">
        <f ca="1">HLOOKUP(TabelaBase[[#This Row],[Idade]],$O$3:$R$4,2,TRUE)</f>
        <v>54-70</v>
      </c>
    </row>
    <row r="280" spans="2:13" x14ac:dyDescent="0.3">
      <c r="B280" s="11">
        <v>41472299450</v>
      </c>
      <c r="C280" t="s">
        <v>251</v>
      </c>
      <c r="D280" t="s">
        <v>5</v>
      </c>
      <c r="E280" t="s">
        <v>416</v>
      </c>
      <c r="F280" t="s">
        <v>13</v>
      </c>
      <c r="G280" t="s">
        <v>424</v>
      </c>
      <c r="H280" s="1">
        <v>32582</v>
      </c>
      <c r="I280" s="1" t="s">
        <v>433</v>
      </c>
      <c r="J280" t="s">
        <v>444</v>
      </c>
      <c r="K280" s="12">
        <v>29.9</v>
      </c>
      <c r="L280" s="14">
        <f ca="1">TRUNC((TODAY()-TabelaBase[[#This Row],[Data Nascimento]])/365)</f>
        <v>36</v>
      </c>
      <c r="M280" s="14" t="str">
        <f ca="1">HLOOKUP(TabelaBase[[#This Row],[Idade]],$O$3:$R$4,2,TRUE)</f>
        <v>35 - 44</v>
      </c>
    </row>
    <row r="281" spans="2:13" x14ac:dyDescent="0.3">
      <c r="B281" s="11">
        <v>41524354226</v>
      </c>
      <c r="C281" t="s">
        <v>36</v>
      </c>
      <c r="D281" t="s">
        <v>5</v>
      </c>
      <c r="E281" t="s">
        <v>7</v>
      </c>
      <c r="F281" t="s">
        <v>13</v>
      </c>
      <c r="G281" t="s">
        <v>426</v>
      </c>
      <c r="H281" s="1">
        <v>28670</v>
      </c>
      <c r="I281" s="1" t="s">
        <v>433</v>
      </c>
      <c r="J281" t="s">
        <v>446</v>
      </c>
      <c r="K281" s="12">
        <v>9.9</v>
      </c>
      <c r="L281" s="14">
        <f ca="1">TRUNC((TODAY()-TabelaBase[[#This Row],[Data Nascimento]])/365)</f>
        <v>47</v>
      </c>
      <c r="M281" s="14" t="str">
        <f ca="1">HLOOKUP(TabelaBase[[#This Row],[Idade]],$O$3:$R$4,2,TRUE)</f>
        <v>44 - 54</v>
      </c>
    </row>
    <row r="282" spans="2:13" x14ac:dyDescent="0.3">
      <c r="B282" s="11">
        <v>41632449755</v>
      </c>
      <c r="C282" t="s">
        <v>327</v>
      </c>
      <c r="D282" t="s">
        <v>5</v>
      </c>
      <c r="E282" t="s">
        <v>7</v>
      </c>
      <c r="F282" t="s">
        <v>9</v>
      </c>
      <c r="G282" t="s">
        <v>425</v>
      </c>
      <c r="H282" s="1">
        <v>27531</v>
      </c>
      <c r="I282" s="1" t="s">
        <v>433</v>
      </c>
      <c r="J282" t="s">
        <v>444</v>
      </c>
      <c r="K282" s="12">
        <v>29.9</v>
      </c>
      <c r="L282" s="14">
        <f ca="1">TRUNC((TODAY()-TabelaBase[[#This Row],[Data Nascimento]])/365)</f>
        <v>50</v>
      </c>
      <c r="M282" s="14" t="str">
        <f ca="1">HLOOKUP(TabelaBase[[#This Row],[Idade]],$O$3:$R$4,2,TRUE)</f>
        <v>44 - 54</v>
      </c>
    </row>
    <row r="283" spans="2:13" x14ac:dyDescent="0.3">
      <c r="B283" s="11">
        <v>41701732128</v>
      </c>
      <c r="C283" t="s">
        <v>180</v>
      </c>
      <c r="D283" t="s">
        <v>5</v>
      </c>
      <c r="E283" t="s">
        <v>7</v>
      </c>
      <c r="F283" t="s">
        <v>13</v>
      </c>
      <c r="G283" t="s">
        <v>425</v>
      </c>
      <c r="H283" s="1">
        <v>34194</v>
      </c>
      <c r="I283" s="1" t="s">
        <v>433</v>
      </c>
      <c r="J283" t="s">
        <v>446</v>
      </c>
      <c r="K283" s="12">
        <v>9.9</v>
      </c>
      <c r="L283" s="14">
        <f ca="1">TRUNC((TODAY()-TabelaBase[[#This Row],[Data Nascimento]])/365)</f>
        <v>32</v>
      </c>
      <c r="M283" s="14" t="str">
        <f ca="1">HLOOKUP(TabelaBase[[#This Row],[Idade]],$O$3:$R$4,2,TRUE)</f>
        <v>24-34</v>
      </c>
    </row>
    <row r="284" spans="2:13" x14ac:dyDescent="0.3">
      <c r="B284" s="11">
        <v>41731968364</v>
      </c>
      <c r="C284" t="s">
        <v>47</v>
      </c>
      <c r="D284" t="s">
        <v>6</v>
      </c>
      <c r="E284" t="s">
        <v>7</v>
      </c>
      <c r="F284" t="s">
        <v>427</v>
      </c>
      <c r="G284" t="s">
        <v>425</v>
      </c>
      <c r="H284" s="1">
        <v>25419</v>
      </c>
      <c r="I284" s="1" t="s">
        <v>429</v>
      </c>
      <c r="J284" t="s">
        <v>444</v>
      </c>
      <c r="K284" s="12">
        <v>29.9</v>
      </c>
      <c r="L284" s="14">
        <f ca="1">TRUNC((TODAY()-TabelaBase[[#This Row],[Data Nascimento]])/365)</f>
        <v>56</v>
      </c>
      <c r="M284" s="14" t="str">
        <f ca="1">HLOOKUP(TabelaBase[[#This Row],[Idade]],$O$3:$R$4,2,TRUE)</f>
        <v>54-70</v>
      </c>
    </row>
    <row r="285" spans="2:13" x14ac:dyDescent="0.3">
      <c r="B285" s="11">
        <v>41775805487</v>
      </c>
      <c r="C285" t="s">
        <v>338</v>
      </c>
      <c r="D285" t="s">
        <v>6</v>
      </c>
      <c r="E285" t="s">
        <v>417</v>
      </c>
      <c r="F285" t="s">
        <v>13</v>
      </c>
      <c r="G285" t="s">
        <v>426</v>
      </c>
      <c r="H285" s="1">
        <v>29946</v>
      </c>
      <c r="I285" s="1" t="s">
        <v>432</v>
      </c>
      <c r="J285" t="s">
        <v>447</v>
      </c>
      <c r="K285" s="12">
        <v>79.900000000000006</v>
      </c>
      <c r="L285" s="14">
        <f ca="1">TRUNC((TODAY()-TabelaBase[[#This Row],[Data Nascimento]])/365)</f>
        <v>44</v>
      </c>
      <c r="M285" s="14" t="str">
        <f ca="1">HLOOKUP(TabelaBase[[#This Row],[Idade]],$O$3:$R$4,2,TRUE)</f>
        <v>44 - 54</v>
      </c>
    </row>
    <row r="286" spans="2:13" x14ac:dyDescent="0.3">
      <c r="B286" s="11">
        <v>41826922437</v>
      </c>
      <c r="C286" t="s">
        <v>258</v>
      </c>
      <c r="D286" t="s">
        <v>6</v>
      </c>
      <c r="E286" t="s">
        <v>417</v>
      </c>
      <c r="F286" t="s">
        <v>11</v>
      </c>
      <c r="G286" t="s">
        <v>426</v>
      </c>
      <c r="H286" s="1">
        <v>28295</v>
      </c>
      <c r="I286" s="1" t="s">
        <v>436</v>
      </c>
      <c r="J286" t="s">
        <v>447</v>
      </c>
      <c r="K286" s="12">
        <v>79.900000000000006</v>
      </c>
      <c r="L286" s="14">
        <f ca="1">TRUNC((TODAY()-TabelaBase[[#This Row],[Data Nascimento]])/365)</f>
        <v>48</v>
      </c>
      <c r="M286" s="14" t="str">
        <f ca="1">HLOOKUP(TabelaBase[[#This Row],[Idade]],$O$3:$R$4,2,TRUE)</f>
        <v>44 - 54</v>
      </c>
    </row>
    <row r="287" spans="2:13" x14ac:dyDescent="0.3">
      <c r="B287" s="11">
        <v>41852635544</v>
      </c>
      <c r="C287" t="s">
        <v>253</v>
      </c>
      <c r="D287" t="s">
        <v>5</v>
      </c>
      <c r="E287" t="s">
        <v>7</v>
      </c>
      <c r="F287" t="s">
        <v>427</v>
      </c>
      <c r="G287" t="s">
        <v>424</v>
      </c>
      <c r="H287" s="1">
        <v>29505</v>
      </c>
      <c r="I287" s="1" t="s">
        <v>436</v>
      </c>
      <c r="J287" t="s">
        <v>445</v>
      </c>
      <c r="K287" s="12">
        <v>35.9</v>
      </c>
      <c r="L287" s="14">
        <f ca="1">TRUNC((TODAY()-TabelaBase[[#This Row],[Data Nascimento]])/365)</f>
        <v>45</v>
      </c>
      <c r="M287" s="14" t="str">
        <f ca="1">HLOOKUP(TabelaBase[[#This Row],[Idade]],$O$3:$R$4,2,TRUE)</f>
        <v>44 - 54</v>
      </c>
    </row>
    <row r="288" spans="2:13" x14ac:dyDescent="0.3">
      <c r="B288" s="11">
        <v>41877616889</v>
      </c>
      <c r="C288" t="s">
        <v>266</v>
      </c>
      <c r="D288" t="s">
        <v>6</v>
      </c>
      <c r="E288" t="s">
        <v>417</v>
      </c>
      <c r="F288" t="s">
        <v>13</v>
      </c>
      <c r="G288" t="s">
        <v>426</v>
      </c>
      <c r="H288" s="1">
        <v>29499</v>
      </c>
      <c r="I288" s="1" t="s">
        <v>436</v>
      </c>
      <c r="J288" t="s">
        <v>447</v>
      </c>
      <c r="K288" s="12">
        <v>79.900000000000006</v>
      </c>
      <c r="L288" s="14">
        <f ca="1">TRUNC((TODAY()-TabelaBase[[#This Row],[Data Nascimento]])/365)</f>
        <v>45</v>
      </c>
      <c r="M288" s="14" t="str">
        <f ca="1">HLOOKUP(TabelaBase[[#This Row],[Idade]],$O$3:$R$4,2,TRUE)</f>
        <v>44 - 54</v>
      </c>
    </row>
    <row r="289" spans="2:13" x14ac:dyDescent="0.3">
      <c r="B289" s="11">
        <v>41899088127</v>
      </c>
      <c r="C289" t="s">
        <v>50</v>
      </c>
      <c r="D289" t="s">
        <v>5</v>
      </c>
      <c r="E289" t="s">
        <v>7</v>
      </c>
      <c r="F289" t="s">
        <v>13</v>
      </c>
      <c r="G289" t="s">
        <v>426</v>
      </c>
      <c r="H289" s="1">
        <v>33013</v>
      </c>
      <c r="I289" s="1" t="s">
        <v>436</v>
      </c>
      <c r="J289" t="s">
        <v>447</v>
      </c>
      <c r="K289" s="12">
        <v>79.900000000000006</v>
      </c>
      <c r="L289" s="14">
        <f ca="1">TRUNC((TODAY()-TabelaBase[[#This Row],[Data Nascimento]])/365)</f>
        <v>35</v>
      </c>
      <c r="M289" s="14" t="str">
        <f ca="1">HLOOKUP(TabelaBase[[#This Row],[Idade]],$O$3:$R$4,2,TRUE)</f>
        <v>35 - 44</v>
      </c>
    </row>
    <row r="290" spans="2:13" x14ac:dyDescent="0.3">
      <c r="B290" s="11">
        <v>41968341445</v>
      </c>
      <c r="C290" t="s">
        <v>384</v>
      </c>
      <c r="D290" t="s">
        <v>5</v>
      </c>
      <c r="E290" t="s">
        <v>417</v>
      </c>
      <c r="F290" t="s">
        <v>13</v>
      </c>
      <c r="G290" t="s">
        <v>425</v>
      </c>
      <c r="H290" s="1">
        <v>24660</v>
      </c>
      <c r="I290" s="1" t="s">
        <v>436</v>
      </c>
      <c r="J290" t="s">
        <v>445</v>
      </c>
      <c r="K290" s="12">
        <v>35.9</v>
      </c>
      <c r="L290" s="14">
        <f ca="1">TRUNC((TODAY()-TabelaBase[[#This Row],[Data Nascimento]])/365)</f>
        <v>58</v>
      </c>
      <c r="M290" s="14" t="str">
        <f ca="1">HLOOKUP(TabelaBase[[#This Row],[Idade]],$O$3:$R$4,2,TRUE)</f>
        <v>54-70</v>
      </c>
    </row>
    <row r="291" spans="2:13" x14ac:dyDescent="0.3">
      <c r="B291" s="11">
        <v>42013420174</v>
      </c>
      <c r="C291" t="s">
        <v>149</v>
      </c>
      <c r="D291" t="s">
        <v>6</v>
      </c>
      <c r="E291" t="s">
        <v>8</v>
      </c>
      <c r="F291" t="s">
        <v>427</v>
      </c>
      <c r="G291" t="s">
        <v>426</v>
      </c>
      <c r="H291" s="1">
        <v>20566</v>
      </c>
      <c r="I291" s="1" t="s">
        <v>436</v>
      </c>
      <c r="J291" t="s">
        <v>445</v>
      </c>
      <c r="K291" s="12">
        <v>35.9</v>
      </c>
      <c r="L291" s="14">
        <f ca="1">TRUNC((TODAY()-TabelaBase[[#This Row],[Data Nascimento]])/365)</f>
        <v>69</v>
      </c>
      <c r="M291" s="14" t="str">
        <f ca="1">HLOOKUP(TabelaBase[[#This Row],[Idade]],$O$3:$R$4,2,TRUE)</f>
        <v>54-70</v>
      </c>
    </row>
    <row r="292" spans="2:13" x14ac:dyDescent="0.3">
      <c r="B292" s="11">
        <v>42084569981</v>
      </c>
      <c r="C292" t="s">
        <v>216</v>
      </c>
      <c r="D292" t="s">
        <v>6</v>
      </c>
      <c r="E292" t="s">
        <v>7</v>
      </c>
      <c r="F292" t="s">
        <v>13</v>
      </c>
      <c r="G292" t="s">
        <v>426</v>
      </c>
      <c r="H292" s="1">
        <v>29777</v>
      </c>
      <c r="I292" s="1" t="s">
        <v>435</v>
      </c>
      <c r="J292" t="s">
        <v>445</v>
      </c>
      <c r="K292" s="12">
        <v>35.9</v>
      </c>
      <c r="L292" s="14">
        <f ca="1">TRUNC((TODAY()-TabelaBase[[#This Row],[Data Nascimento]])/365)</f>
        <v>44</v>
      </c>
      <c r="M292" s="14" t="str">
        <f ca="1">HLOOKUP(TabelaBase[[#This Row],[Idade]],$O$3:$R$4,2,TRUE)</f>
        <v>44 - 54</v>
      </c>
    </row>
    <row r="293" spans="2:13" x14ac:dyDescent="0.3">
      <c r="B293" s="11">
        <v>42110059785</v>
      </c>
      <c r="C293" t="s">
        <v>155</v>
      </c>
      <c r="D293" t="s">
        <v>6</v>
      </c>
      <c r="E293" t="s">
        <v>417</v>
      </c>
      <c r="F293" t="s">
        <v>13</v>
      </c>
      <c r="G293" t="s">
        <v>425</v>
      </c>
      <c r="H293" s="1">
        <v>28974</v>
      </c>
      <c r="I293" s="1" t="s">
        <v>433</v>
      </c>
      <c r="J293" t="s">
        <v>444</v>
      </c>
      <c r="K293" s="12">
        <v>29.9</v>
      </c>
      <c r="L293" s="14">
        <f ca="1">TRUNC((TODAY()-TabelaBase[[#This Row],[Data Nascimento]])/365)</f>
        <v>46</v>
      </c>
      <c r="M293" s="14" t="str">
        <f ca="1">HLOOKUP(TabelaBase[[#This Row],[Idade]],$O$3:$R$4,2,TRUE)</f>
        <v>44 - 54</v>
      </c>
    </row>
    <row r="294" spans="2:13" x14ac:dyDescent="0.3">
      <c r="B294" s="11">
        <v>42155541132</v>
      </c>
      <c r="C294" t="s">
        <v>391</v>
      </c>
      <c r="D294" t="s">
        <v>6</v>
      </c>
      <c r="E294" t="s">
        <v>417</v>
      </c>
      <c r="F294" t="s">
        <v>12</v>
      </c>
      <c r="G294" t="s">
        <v>424</v>
      </c>
      <c r="H294" s="1">
        <v>23002</v>
      </c>
      <c r="I294" s="1" t="s">
        <v>433</v>
      </c>
      <c r="J294" t="s">
        <v>447</v>
      </c>
      <c r="K294" s="12">
        <v>79.900000000000006</v>
      </c>
      <c r="L294" s="14">
        <f ca="1">TRUNC((TODAY()-TabelaBase[[#This Row],[Data Nascimento]])/365)</f>
        <v>63</v>
      </c>
      <c r="M294" s="14" t="str">
        <f ca="1">HLOOKUP(TabelaBase[[#This Row],[Idade]],$O$3:$R$4,2,TRUE)</f>
        <v>54-70</v>
      </c>
    </row>
    <row r="295" spans="2:13" x14ac:dyDescent="0.3">
      <c r="B295" s="11">
        <v>42224635144</v>
      </c>
      <c r="C295" t="s">
        <v>282</v>
      </c>
      <c r="D295" t="s">
        <v>6</v>
      </c>
      <c r="E295" t="s">
        <v>8</v>
      </c>
      <c r="F295" t="s">
        <v>11</v>
      </c>
      <c r="G295" t="s">
        <v>424</v>
      </c>
      <c r="H295" s="1">
        <v>22394</v>
      </c>
      <c r="I295" s="1" t="s">
        <v>433</v>
      </c>
      <c r="J295" t="s">
        <v>447</v>
      </c>
      <c r="K295" s="12">
        <v>79.900000000000006</v>
      </c>
      <c r="L295" s="14">
        <f ca="1">TRUNC((TODAY()-TabelaBase[[#This Row],[Data Nascimento]])/365)</f>
        <v>64</v>
      </c>
      <c r="M295" s="14" t="str">
        <f ca="1">HLOOKUP(TabelaBase[[#This Row],[Idade]],$O$3:$R$4,2,TRUE)</f>
        <v>54-70</v>
      </c>
    </row>
    <row r="296" spans="2:13" x14ac:dyDescent="0.3">
      <c r="B296" s="11">
        <v>42314907630</v>
      </c>
      <c r="C296" t="s">
        <v>224</v>
      </c>
      <c r="D296" t="s">
        <v>6</v>
      </c>
      <c r="E296" t="s">
        <v>417</v>
      </c>
      <c r="F296" t="s">
        <v>13</v>
      </c>
      <c r="G296" t="s">
        <v>425</v>
      </c>
      <c r="H296" s="1">
        <v>31551</v>
      </c>
      <c r="I296" s="1" t="s">
        <v>433</v>
      </c>
      <c r="J296" t="s">
        <v>444</v>
      </c>
      <c r="K296" s="12">
        <v>29.9</v>
      </c>
      <c r="L296" s="14">
        <f ca="1">TRUNC((TODAY()-TabelaBase[[#This Row],[Data Nascimento]])/365)</f>
        <v>39</v>
      </c>
      <c r="M296" s="14" t="str">
        <f ca="1">HLOOKUP(TabelaBase[[#This Row],[Idade]],$O$3:$R$4,2,TRUE)</f>
        <v>35 - 44</v>
      </c>
    </row>
    <row r="297" spans="2:13" x14ac:dyDescent="0.3">
      <c r="B297" s="11">
        <v>42346270511</v>
      </c>
      <c r="C297" t="s">
        <v>71</v>
      </c>
      <c r="D297" t="s">
        <v>5</v>
      </c>
      <c r="E297" t="s">
        <v>417</v>
      </c>
      <c r="F297" t="s">
        <v>427</v>
      </c>
      <c r="G297" t="s">
        <v>424</v>
      </c>
      <c r="H297" s="1">
        <v>30254</v>
      </c>
      <c r="I297" s="1" t="s">
        <v>433</v>
      </c>
      <c r="J297" t="s">
        <v>444</v>
      </c>
      <c r="K297" s="12">
        <v>29.9</v>
      </c>
      <c r="L297" s="14">
        <f ca="1">TRUNC((TODAY()-TabelaBase[[#This Row],[Data Nascimento]])/365)</f>
        <v>43</v>
      </c>
      <c r="M297" s="14" t="str">
        <f ca="1">HLOOKUP(TabelaBase[[#This Row],[Idade]],$O$3:$R$4,2,TRUE)</f>
        <v>35 - 44</v>
      </c>
    </row>
    <row r="298" spans="2:13" x14ac:dyDescent="0.3">
      <c r="B298" s="11">
        <v>42400046505</v>
      </c>
      <c r="C298" t="s">
        <v>154</v>
      </c>
      <c r="D298" t="s">
        <v>6</v>
      </c>
      <c r="E298" t="s">
        <v>417</v>
      </c>
      <c r="F298" t="s">
        <v>14</v>
      </c>
      <c r="G298" t="s">
        <v>425</v>
      </c>
      <c r="H298" s="1">
        <v>27985</v>
      </c>
      <c r="I298" s="1" t="s">
        <v>430</v>
      </c>
      <c r="J298" t="s">
        <v>444</v>
      </c>
      <c r="K298" s="12">
        <v>29.9</v>
      </c>
      <c r="L298" s="14">
        <f ca="1">TRUNC((TODAY()-TabelaBase[[#This Row],[Data Nascimento]])/365)</f>
        <v>49</v>
      </c>
      <c r="M298" s="14" t="str">
        <f ca="1">HLOOKUP(TabelaBase[[#This Row],[Idade]],$O$3:$R$4,2,TRUE)</f>
        <v>44 - 54</v>
      </c>
    </row>
    <row r="299" spans="2:13" x14ac:dyDescent="0.3">
      <c r="B299" s="11">
        <v>42434329390</v>
      </c>
      <c r="C299" t="s">
        <v>308</v>
      </c>
      <c r="D299" t="s">
        <v>6</v>
      </c>
      <c r="E299" t="s">
        <v>416</v>
      </c>
      <c r="F299" t="s">
        <v>13</v>
      </c>
      <c r="G299" t="s">
        <v>425</v>
      </c>
      <c r="H299" s="1">
        <v>24058</v>
      </c>
      <c r="I299" s="1" t="s">
        <v>429</v>
      </c>
      <c r="J299" t="s">
        <v>446</v>
      </c>
      <c r="K299" s="12">
        <v>9.9</v>
      </c>
      <c r="L299" s="14">
        <f ca="1">TRUNC((TODAY()-TabelaBase[[#This Row],[Data Nascimento]])/365)</f>
        <v>60</v>
      </c>
      <c r="M299" s="14" t="str">
        <f ca="1">HLOOKUP(TabelaBase[[#This Row],[Idade]],$O$3:$R$4,2,TRUE)</f>
        <v>54-70</v>
      </c>
    </row>
    <row r="300" spans="2:13" x14ac:dyDescent="0.3">
      <c r="B300" s="11">
        <v>42460611185</v>
      </c>
      <c r="C300" t="s">
        <v>394</v>
      </c>
      <c r="D300" t="s">
        <v>5</v>
      </c>
      <c r="E300" t="s">
        <v>417</v>
      </c>
      <c r="F300" t="s">
        <v>14</v>
      </c>
      <c r="G300" t="s">
        <v>425</v>
      </c>
      <c r="H300" s="1">
        <v>24908</v>
      </c>
      <c r="I300" s="1" t="s">
        <v>431</v>
      </c>
      <c r="J300" t="s">
        <v>444</v>
      </c>
      <c r="K300" s="12">
        <v>29.9</v>
      </c>
      <c r="L300" s="14">
        <f ca="1">TRUNC((TODAY()-TabelaBase[[#This Row],[Data Nascimento]])/365)</f>
        <v>57</v>
      </c>
      <c r="M300" s="14" t="str">
        <f ca="1">HLOOKUP(TabelaBase[[#This Row],[Idade]],$O$3:$R$4,2,TRUE)</f>
        <v>54-70</v>
      </c>
    </row>
    <row r="301" spans="2:13" x14ac:dyDescent="0.3">
      <c r="B301" s="11">
        <v>42658139379</v>
      </c>
      <c r="C301" t="s">
        <v>294</v>
      </c>
      <c r="D301" t="s">
        <v>6</v>
      </c>
      <c r="E301" t="s">
        <v>417</v>
      </c>
      <c r="F301" t="s">
        <v>11</v>
      </c>
      <c r="G301" t="s">
        <v>425</v>
      </c>
      <c r="H301" s="1">
        <v>32770</v>
      </c>
      <c r="I301" s="1" t="s">
        <v>432</v>
      </c>
      <c r="J301" t="s">
        <v>447</v>
      </c>
      <c r="K301" s="12">
        <v>79.900000000000006</v>
      </c>
      <c r="L301" s="14">
        <f ca="1">TRUNC((TODAY()-TabelaBase[[#This Row],[Data Nascimento]])/365)</f>
        <v>36</v>
      </c>
      <c r="M301" s="14" t="str">
        <f ca="1">HLOOKUP(TabelaBase[[#This Row],[Idade]],$O$3:$R$4,2,TRUE)</f>
        <v>35 - 44</v>
      </c>
    </row>
    <row r="302" spans="2:13" x14ac:dyDescent="0.3">
      <c r="B302" s="11">
        <v>42678380444</v>
      </c>
      <c r="C302" t="s">
        <v>246</v>
      </c>
      <c r="D302" t="s">
        <v>6</v>
      </c>
      <c r="E302" t="s">
        <v>417</v>
      </c>
      <c r="F302" t="s">
        <v>11</v>
      </c>
      <c r="G302" t="s">
        <v>426</v>
      </c>
      <c r="H302" s="1">
        <v>28309</v>
      </c>
      <c r="I302" s="1" t="s">
        <v>434</v>
      </c>
      <c r="J302" t="s">
        <v>447</v>
      </c>
      <c r="K302" s="12">
        <v>79.900000000000006</v>
      </c>
      <c r="L302" s="14">
        <f ca="1">TRUNC((TODAY()-TabelaBase[[#This Row],[Data Nascimento]])/365)</f>
        <v>48</v>
      </c>
      <c r="M302" s="14" t="str">
        <f ca="1">HLOOKUP(TabelaBase[[#This Row],[Idade]],$O$3:$R$4,2,TRUE)</f>
        <v>44 - 54</v>
      </c>
    </row>
    <row r="303" spans="2:13" x14ac:dyDescent="0.3">
      <c r="B303" s="11">
        <v>42680912819</v>
      </c>
      <c r="C303" t="s">
        <v>265</v>
      </c>
      <c r="D303" t="s">
        <v>5</v>
      </c>
      <c r="E303" t="s">
        <v>7</v>
      </c>
      <c r="F303" t="s">
        <v>12</v>
      </c>
      <c r="G303" t="s">
        <v>425</v>
      </c>
      <c r="H303" s="1">
        <v>27457</v>
      </c>
      <c r="I303" s="1" t="s">
        <v>430</v>
      </c>
      <c r="J303" t="s">
        <v>445</v>
      </c>
      <c r="K303" s="12">
        <v>35.9</v>
      </c>
      <c r="L303" s="14">
        <f ca="1">TRUNC((TODAY()-TabelaBase[[#This Row],[Data Nascimento]])/365)</f>
        <v>50</v>
      </c>
      <c r="M303" s="14" t="str">
        <f ca="1">HLOOKUP(TabelaBase[[#This Row],[Idade]],$O$3:$R$4,2,TRUE)</f>
        <v>44 - 54</v>
      </c>
    </row>
    <row r="304" spans="2:13" x14ac:dyDescent="0.3">
      <c r="B304" s="11">
        <v>42735692164</v>
      </c>
      <c r="C304" t="s">
        <v>69</v>
      </c>
      <c r="D304" t="s">
        <v>6</v>
      </c>
      <c r="E304" t="s">
        <v>8</v>
      </c>
      <c r="F304" t="s">
        <v>427</v>
      </c>
      <c r="G304" t="s">
        <v>426</v>
      </c>
      <c r="H304" s="1">
        <v>34699</v>
      </c>
      <c r="I304" s="1" t="s">
        <v>435</v>
      </c>
      <c r="J304" t="s">
        <v>446</v>
      </c>
      <c r="K304" s="12">
        <v>9.9</v>
      </c>
      <c r="L304" s="14">
        <f ca="1">TRUNC((TODAY()-TabelaBase[[#This Row],[Data Nascimento]])/365)</f>
        <v>31</v>
      </c>
      <c r="M304" s="14" t="str">
        <f ca="1">HLOOKUP(TabelaBase[[#This Row],[Idade]],$O$3:$R$4,2,TRUE)</f>
        <v>24-34</v>
      </c>
    </row>
    <row r="305" spans="2:13" x14ac:dyDescent="0.3">
      <c r="B305" s="11">
        <v>42745218846</v>
      </c>
      <c r="C305" t="s">
        <v>133</v>
      </c>
      <c r="D305" t="s">
        <v>6</v>
      </c>
      <c r="E305" t="s">
        <v>7</v>
      </c>
      <c r="F305" t="s">
        <v>427</v>
      </c>
      <c r="G305" t="s">
        <v>424</v>
      </c>
      <c r="H305" s="1">
        <v>28738</v>
      </c>
      <c r="I305" s="1" t="s">
        <v>436</v>
      </c>
      <c r="J305" t="s">
        <v>445</v>
      </c>
      <c r="K305" s="12">
        <v>35.9</v>
      </c>
      <c r="L305" s="14">
        <f ca="1">TRUNC((TODAY()-TabelaBase[[#This Row],[Data Nascimento]])/365)</f>
        <v>47</v>
      </c>
      <c r="M305" s="14" t="str">
        <f ca="1">HLOOKUP(TabelaBase[[#This Row],[Idade]],$O$3:$R$4,2,TRUE)</f>
        <v>44 - 54</v>
      </c>
    </row>
    <row r="306" spans="2:13" x14ac:dyDescent="0.3">
      <c r="B306" s="11">
        <v>42808465160</v>
      </c>
      <c r="C306" t="s">
        <v>125</v>
      </c>
      <c r="D306" t="s">
        <v>6</v>
      </c>
      <c r="E306" t="s">
        <v>7</v>
      </c>
      <c r="F306" t="s">
        <v>427</v>
      </c>
      <c r="G306" t="s">
        <v>425</v>
      </c>
      <c r="H306" s="1">
        <v>26186</v>
      </c>
      <c r="I306" s="1" t="s">
        <v>430</v>
      </c>
      <c r="J306" t="s">
        <v>445</v>
      </c>
      <c r="K306" s="12">
        <v>35.9</v>
      </c>
      <c r="L306" s="14">
        <f ca="1">TRUNC((TODAY()-TabelaBase[[#This Row],[Data Nascimento]])/365)</f>
        <v>54</v>
      </c>
      <c r="M306" s="14" t="str">
        <f ca="1">HLOOKUP(TabelaBase[[#This Row],[Idade]],$O$3:$R$4,2,TRUE)</f>
        <v>54-70</v>
      </c>
    </row>
    <row r="307" spans="2:13" x14ac:dyDescent="0.3">
      <c r="B307" s="11">
        <v>42864213763</v>
      </c>
      <c r="C307" t="s">
        <v>273</v>
      </c>
      <c r="D307" t="s">
        <v>5</v>
      </c>
      <c r="E307" t="s">
        <v>7</v>
      </c>
      <c r="F307" t="s">
        <v>427</v>
      </c>
      <c r="G307" t="s">
        <v>424</v>
      </c>
      <c r="H307" s="1">
        <v>32466</v>
      </c>
      <c r="I307" s="1" t="s">
        <v>435</v>
      </c>
      <c r="J307" t="s">
        <v>446</v>
      </c>
      <c r="K307" s="12">
        <v>9.9</v>
      </c>
      <c r="L307" s="14">
        <f ca="1">TRUNC((TODAY()-TabelaBase[[#This Row],[Data Nascimento]])/365)</f>
        <v>37</v>
      </c>
      <c r="M307" s="14" t="str">
        <f ca="1">HLOOKUP(TabelaBase[[#This Row],[Idade]],$O$3:$R$4,2,TRUE)</f>
        <v>35 - 44</v>
      </c>
    </row>
    <row r="308" spans="2:13" x14ac:dyDescent="0.3">
      <c r="B308" s="11">
        <v>42955842741</v>
      </c>
      <c r="C308" t="s">
        <v>291</v>
      </c>
      <c r="D308" t="s">
        <v>5</v>
      </c>
      <c r="E308" t="s">
        <v>416</v>
      </c>
      <c r="F308" t="s">
        <v>9</v>
      </c>
      <c r="G308" t="s">
        <v>424</v>
      </c>
      <c r="H308" s="1">
        <v>26653</v>
      </c>
      <c r="I308" s="1" t="s">
        <v>436</v>
      </c>
      <c r="J308" t="s">
        <v>446</v>
      </c>
      <c r="K308" s="12">
        <v>9.9</v>
      </c>
      <c r="L308" s="14">
        <f ca="1">TRUNC((TODAY()-TabelaBase[[#This Row],[Data Nascimento]])/365)</f>
        <v>53</v>
      </c>
      <c r="M308" s="14" t="str">
        <f ca="1">HLOOKUP(TabelaBase[[#This Row],[Idade]],$O$3:$R$4,2,TRUE)</f>
        <v>44 - 54</v>
      </c>
    </row>
    <row r="309" spans="2:13" x14ac:dyDescent="0.3">
      <c r="B309" s="11">
        <v>42981421778</v>
      </c>
      <c r="C309" t="s">
        <v>298</v>
      </c>
      <c r="D309" t="s">
        <v>5</v>
      </c>
      <c r="E309" t="s">
        <v>417</v>
      </c>
      <c r="F309" t="s">
        <v>14</v>
      </c>
      <c r="G309" t="s">
        <v>426</v>
      </c>
      <c r="H309" s="1">
        <v>32563</v>
      </c>
      <c r="I309" s="1" t="s">
        <v>433</v>
      </c>
      <c r="J309" t="s">
        <v>444</v>
      </c>
      <c r="K309" s="12">
        <v>29.9</v>
      </c>
      <c r="L309" s="14">
        <f ca="1">TRUNC((TODAY()-TabelaBase[[#This Row],[Data Nascimento]])/365)</f>
        <v>36</v>
      </c>
      <c r="M309" s="14" t="str">
        <f ca="1">HLOOKUP(TabelaBase[[#This Row],[Idade]],$O$3:$R$4,2,TRUE)</f>
        <v>35 - 44</v>
      </c>
    </row>
    <row r="310" spans="2:13" x14ac:dyDescent="0.3">
      <c r="B310" s="11">
        <v>43001444003</v>
      </c>
      <c r="C310" t="s">
        <v>176</v>
      </c>
      <c r="D310" t="s">
        <v>6</v>
      </c>
      <c r="E310" t="s">
        <v>7</v>
      </c>
      <c r="F310" t="s">
        <v>13</v>
      </c>
      <c r="G310" t="s">
        <v>426</v>
      </c>
      <c r="H310" s="1">
        <v>25444</v>
      </c>
      <c r="I310" s="1" t="s">
        <v>433</v>
      </c>
      <c r="J310" t="s">
        <v>444</v>
      </c>
      <c r="K310" s="12">
        <v>29.9</v>
      </c>
      <c r="L310" s="14">
        <f ca="1">TRUNC((TODAY()-TabelaBase[[#This Row],[Data Nascimento]])/365)</f>
        <v>56</v>
      </c>
      <c r="M310" s="14" t="str">
        <f ca="1">HLOOKUP(TabelaBase[[#This Row],[Idade]],$O$3:$R$4,2,TRUE)</f>
        <v>54-70</v>
      </c>
    </row>
    <row r="311" spans="2:13" x14ac:dyDescent="0.3">
      <c r="B311" s="11">
        <v>43008928497</v>
      </c>
      <c r="C311" t="s">
        <v>278</v>
      </c>
      <c r="D311" t="s">
        <v>6</v>
      </c>
      <c r="E311" t="s">
        <v>417</v>
      </c>
      <c r="F311" t="s">
        <v>13</v>
      </c>
      <c r="G311" t="s">
        <v>426</v>
      </c>
      <c r="H311" s="1">
        <v>32097</v>
      </c>
      <c r="I311" s="1" t="s">
        <v>433</v>
      </c>
      <c r="J311" t="s">
        <v>446</v>
      </c>
      <c r="K311" s="12">
        <v>9.9</v>
      </c>
      <c r="L311" s="14">
        <f ca="1">TRUNC((TODAY()-TabelaBase[[#This Row],[Data Nascimento]])/365)</f>
        <v>38</v>
      </c>
      <c r="M311" s="14" t="str">
        <f ca="1">HLOOKUP(TabelaBase[[#This Row],[Idade]],$O$3:$R$4,2,TRUE)</f>
        <v>35 - 44</v>
      </c>
    </row>
    <row r="312" spans="2:13" x14ac:dyDescent="0.3">
      <c r="B312" s="11">
        <v>43118591455</v>
      </c>
      <c r="C312" t="s">
        <v>290</v>
      </c>
      <c r="D312" t="s">
        <v>6</v>
      </c>
      <c r="E312" t="s">
        <v>7</v>
      </c>
      <c r="F312" t="s">
        <v>13</v>
      </c>
      <c r="G312" t="s">
        <v>426</v>
      </c>
      <c r="H312" s="1">
        <v>25014</v>
      </c>
      <c r="I312" s="1" t="s">
        <v>433</v>
      </c>
      <c r="J312" t="s">
        <v>447</v>
      </c>
      <c r="K312" s="12">
        <v>79.900000000000006</v>
      </c>
      <c r="L312" s="14">
        <f ca="1">TRUNC((TODAY()-TabelaBase[[#This Row],[Data Nascimento]])/365)</f>
        <v>57</v>
      </c>
      <c r="M312" s="14" t="str">
        <f ca="1">HLOOKUP(TabelaBase[[#This Row],[Idade]],$O$3:$R$4,2,TRUE)</f>
        <v>54-70</v>
      </c>
    </row>
    <row r="313" spans="2:13" x14ac:dyDescent="0.3">
      <c r="B313" s="11">
        <v>43245355006</v>
      </c>
      <c r="C313" t="s">
        <v>144</v>
      </c>
      <c r="D313" t="s">
        <v>6</v>
      </c>
      <c r="E313" t="s">
        <v>417</v>
      </c>
      <c r="F313" t="s">
        <v>13</v>
      </c>
      <c r="G313" t="s">
        <v>425</v>
      </c>
      <c r="H313" s="1">
        <v>34539</v>
      </c>
      <c r="I313" s="1" t="s">
        <v>433</v>
      </c>
      <c r="J313" t="s">
        <v>445</v>
      </c>
      <c r="K313" s="12">
        <v>35.9</v>
      </c>
      <c r="L313" s="14">
        <f ca="1">TRUNC((TODAY()-TabelaBase[[#This Row],[Data Nascimento]])/365)</f>
        <v>31</v>
      </c>
      <c r="M313" s="14" t="str">
        <f ca="1">HLOOKUP(TabelaBase[[#This Row],[Idade]],$O$3:$R$4,2,TRUE)</f>
        <v>24-34</v>
      </c>
    </row>
    <row r="314" spans="2:13" x14ac:dyDescent="0.3">
      <c r="B314" s="11">
        <v>43251240742</v>
      </c>
      <c r="C314" t="s">
        <v>201</v>
      </c>
      <c r="D314" t="s">
        <v>5</v>
      </c>
      <c r="E314" t="s">
        <v>417</v>
      </c>
      <c r="F314" t="s">
        <v>427</v>
      </c>
      <c r="G314" t="s">
        <v>425</v>
      </c>
      <c r="H314" s="1">
        <v>27285</v>
      </c>
      <c r="I314" s="1" t="s">
        <v>433</v>
      </c>
      <c r="J314" t="s">
        <v>446</v>
      </c>
      <c r="K314" s="12">
        <v>9.9</v>
      </c>
      <c r="L314" s="14">
        <f ca="1">TRUNC((TODAY()-TabelaBase[[#This Row],[Data Nascimento]])/365)</f>
        <v>51</v>
      </c>
      <c r="M314" s="14" t="str">
        <f ca="1">HLOOKUP(TabelaBase[[#This Row],[Idade]],$O$3:$R$4,2,TRUE)</f>
        <v>44 - 54</v>
      </c>
    </row>
    <row r="315" spans="2:13" x14ac:dyDescent="0.3">
      <c r="B315" s="11">
        <v>43251978310</v>
      </c>
      <c r="C315" t="s">
        <v>305</v>
      </c>
      <c r="D315" t="s">
        <v>6</v>
      </c>
      <c r="E315" t="s">
        <v>7</v>
      </c>
      <c r="F315" t="s">
        <v>427</v>
      </c>
      <c r="G315" t="s">
        <v>425</v>
      </c>
      <c r="H315" s="1">
        <v>27466</v>
      </c>
      <c r="I315" s="1" t="s">
        <v>433</v>
      </c>
      <c r="J315" t="s">
        <v>445</v>
      </c>
      <c r="K315" s="12">
        <v>35.9</v>
      </c>
      <c r="L315" s="14">
        <f ca="1">TRUNC((TODAY()-TabelaBase[[#This Row],[Data Nascimento]])/365)</f>
        <v>50</v>
      </c>
      <c r="M315" s="14" t="str">
        <f ca="1">HLOOKUP(TabelaBase[[#This Row],[Idade]],$O$3:$R$4,2,TRUE)</f>
        <v>44 - 54</v>
      </c>
    </row>
    <row r="316" spans="2:13" x14ac:dyDescent="0.3">
      <c r="B316" s="11">
        <v>43308815311</v>
      </c>
      <c r="C316" t="s">
        <v>84</v>
      </c>
      <c r="D316" t="s">
        <v>5</v>
      </c>
      <c r="E316" t="s">
        <v>418</v>
      </c>
      <c r="F316" t="s">
        <v>13</v>
      </c>
      <c r="G316" t="s">
        <v>425</v>
      </c>
      <c r="H316" s="1">
        <v>22517</v>
      </c>
      <c r="I316" s="1" t="s">
        <v>433</v>
      </c>
      <c r="J316" t="s">
        <v>446</v>
      </c>
      <c r="K316" s="12">
        <v>9.9</v>
      </c>
      <c r="L316" s="14">
        <f ca="1">TRUNC((TODAY()-TabelaBase[[#This Row],[Data Nascimento]])/365)</f>
        <v>64</v>
      </c>
      <c r="M316" s="14" t="str">
        <f ca="1">HLOOKUP(TabelaBase[[#This Row],[Idade]],$O$3:$R$4,2,TRUE)</f>
        <v>54-70</v>
      </c>
    </row>
    <row r="317" spans="2:13" x14ac:dyDescent="0.3">
      <c r="B317" s="11">
        <v>43329901726</v>
      </c>
      <c r="C317" t="s">
        <v>81</v>
      </c>
      <c r="D317" t="s">
        <v>6</v>
      </c>
      <c r="E317" t="s">
        <v>417</v>
      </c>
      <c r="F317" t="s">
        <v>427</v>
      </c>
      <c r="G317" t="s">
        <v>425</v>
      </c>
      <c r="H317" s="1">
        <v>24537</v>
      </c>
      <c r="I317" s="1" t="s">
        <v>433</v>
      </c>
      <c r="J317" t="s">
        <v>446</v>
      </c>
      <c r="K317" s="12">
        <v>9.9</v>
      </c>
      <c r="L317" s="14">
        <f ca="1">TRUNC((TODAY()-TabelaBase[[#This Row],[Data Nascimento]])/365)</f>
        <v>58</v>
      </c>
      <c r="M317" s="14" t="str">
        <f ca="1">HLOOKUP(TabelaBase[[#This Row],[Idade]],$O$3:$R$4,2,TRUE)</f>
        <v>54-70</v>
      </c>
    </row>
    <row r="318" spans="2:13" x14ac:dyDescent="0.3">
      <c r="B318" s="11">
        <v>43349394419</v>
      </c>
      <c r="C318" t="s">
        <v>227</v>
      </c>
      <c r="D318" t="s">
        <v>5</v>
      </c>
      <c r="E318" t="s">
        <v>7</v>
      </c>
      <c r="F318" t="s">
        <v>13</v>
      </c>
      <c r="G318" t="s">
        <v>425</v>
      </c>
      <c r="H318" s="1">
        <v>21824</v>
      </c>
      <c r="I318" s="1" t="s">
        <v>429</v>
      </c>
      <c r="J318" t="s">
        <v>444</v>
      </c>
      <c r="K318" s="12">
        <v>29.9</v>
      </c>
      <c r="L318" s="14">
        <f ca="1">TRUNC((TODAY()-TabelaBase[[#This Row],[Data Nascimento]])/365)</f>
        <v>66</v>
      </c>
      <c r="M318" s="14" t="str">
        <f ca="1">HLOOKUP(TabelaBase[[#This Row],[Idade]],$O$3:$R$4,2,TRUE)</f>
        <v>54-70</v>
      </c>
    </row>
    <row r="319" spans="2:13" x14ac:dyDescent="0.3">
      <c r="B319" s="11">
        <v>43353453212</v>
      </c>
      <c r="C319" t="s">
        <v>376</v>
      </c>
      <c r="D319" t="s">
        <v>5</v>
      </c>
      <c r="E319" t="s">
        <v>7</v>
      </c>
      <c r="F319" t="s">
        <v>14</v>
      </c>
      <c r="G319" t="s">
        <v>426</v>
      </c>
      <c r="H319" s="1">
        <v>21970</v>
      </c>
      <c r="I319" s="1" t="s">
        <v>432</v>
      </c>
      <c r="J319" t="s">
        <v>446</v>
      </c>
      <c r="K319" s="12">
        <v>9.9</v>
      </c>
      <c r="L319" s="14">
        <f ca="1">TRUNC((TODAY()-TabelaBase[[#This Row],[Data Nascimento]])/365)</f>
        <v>65</v>
      </c>
      <c r="M319" s="14" t="str">
        <f ca="1">HLOOKUP(TabelaBase[[#This Row],[Idade]],$O$3:$R$4,2,TRUE)</f>
        <v>54-70</v>
      </c>
    </row>
    <row r="320" spans="2:13" x14ac:dyDescent="0.3">
      <c r="B320" s="11">
        <v>43449469621</v>
      </c>
      <c r="C320" t="s">
        <v>130</v>
      </c>
      <c r="D320" t="s">
        <v>6</v>
      </c>
      <c r="E320" t="s">
        <v>7</v>
      </c>
      <c r="F320" t="s">
        <v>14</v>
      </c>
      <c r="G320" t="s">
        <v>426</v>
      </c>
      <c r="H320" s="1">
        <v>25723</v>
      </c>
      <c r="I320" s="1" t="s">
        <v>436</v>
      </c>
      <c r="J320" t="s">
        <v>444</v>
      </c>
      <c r="K320" s="12">
        <v>29.9</v>
      </c>
      <c r="L320" s="14">
        <f ca="1">TRUNC((TODAY()-TabelaBase[[#This Row],[Data Nascimento]])/365)</f>
        <v>55</v>
      </c>
      <c r="M320" s="14" t="str">
        <f ca="1">HLOOKUP(TabelaBase[[#This Row],[Idade]],$O$3:$R$4,2,TRUE)</f>
        <v>54-70</v>
      </c>
    </row>
    <row r="321" spans="2:13" x14ac:dyDescent="0.3">
      <c r="B321" s="11">
        <v>43512417125</v>
      </c>
      <c r="C321" t="s">
        <v>56</v>
      </c>
      <c r="D321" t="s">
        <v>5</v>
      </c>
      <c r="E321" t="s">
        <v>7</v>
      </c>
      <c r="F321" t="s">
        <v>13</v>
      </c>
      <c r="G321" t="s">
        <v>425</v>
      </c>
      <c r="H321" s="1">
        <v>26300</v>
      </c>
      <c r="I321" s="1" t="s">
        <v>436</v>
      </c>
      <c r="J321" t="s">
        <v>444</v>
      </c>
      <c r="K321" s="12">
        <v>29.9</v>
      </c>
      <c r="L321" s="14">
        <f ca="1">TRUNC((TODAY()-TabelaBase[[#This Row],[Data Nascimento]])/365)</f>
        <v>54</v>
      </c>
      <c r="M321" s="14" t="str">
        <f ca="1">HLOOKUP(TabelaBase[[#This Row],[Idade]],$O$3:$R$4,2,TRUE)</f>
        <v>54-70</v>
      </c>
    </row>
    <row r="322" spans="2:13" x14ac:dyDescent="0.3">
      <c r="B322" s="11">
        <v>43690634952</v>
      </c>
      <c r="C322" t="s">
        <v>179</v>
      </c>
      <c r="D322" t="s">
        <v>5</v>
      </c>
      <c r="E322" t="s">
        <v>8</v>
      </c>
      <c r="F322" t="s">
        <v>13</v>
      </c>
      <c r="G322" t="s">
        <v>425</v>
      </c>
      <c r="H322" s="1">
        <v>20978</v>
      </c>
      <c r="I322" s="1" t="s">
        <v>436</v>
      </c>
      <c r="J322" t="s">
        <v>444</v>
      </c>
      <c r="K322" s="12">
        <v>29.9</v>
      </c>
      <c r="L322" s="14">
        <f ca="1">TRUNC((TODAY()-TabelaBase[[#This Row],[Data Nascimento]])/365)</f>
        <v>68</v>
      </c>
      <c r="M322" s="14" t="str">
        <f ca="1">HLOOKUP(TabelaBase[[#This Row],[Idade]],$O$3:$R$4,2,TRUE)</f>
        <v>54-70</v>
      </c>
    </row>
    <row r="323" spans="2:13" x14ac:dyDescent="0.3">
      <c r="B323" s="11">
        <v>43739297869</v>
      </c>
      <c r="C323" t="s">
        <v>33</v>
      </c>
      <c r="D323" t="s">
        <v>6</v>
      </c>
      <c r="E323" t="s">
        <v>7</v>
      </c>
      <c r="F323" t="s">
        <v>427</v>
      </c>
      <c r="G323" t="s">
        <v>424</v>
      </c>
      <c r="H323" s="1">
        <v>34238</v>
      </c>
      <c r="I323" s="1" t="s">
        <v>436</v>
      </c>
      <c r="J323" t="s">
        <v>446</v>
      </c>
      <c r="K323" s="12">
        <v>9.9</v>
      </c>
      <c r="L323" s="14">
        <f ca="1">TRUNC((TODAY()-TabelaBase[[#This Row],[Data Nascimento]])/365)</f>
        <v>32</v>
      </c>
      <c r="M323" s="14" t="str">
        <f ca="1">HLOOKUP(TabelaBase[[#This Row],[Idade]],$O$3:$R$4,2,TRUE)</f>
        <v>24-34</v>
      </c>
    </row>
    <row r="324" spans="2:13" x14ac:dyDescent="0.3">
      <c r="B324" s="11">
        <v>43743382226</v>
      </c>
      <c r="C324" t="s">
        <v>335</v>
      </c>
      <c r="D324" t="s">
        <v>5</v>
      </c>
      <c r="E324" t="s">
        <v>417</v>
      </c>
      <c r="F324" t="s">
        <v>427</v>
      </c>
      <c r="G324" t="s">
        <v>425</v>
      </c>
      <c r="H324" s="1">
        <v>33082</v>
      </c>
      <c r="I324" s="1" t="s">
        <v>436</v>
      </c>
      <c r="J324" t="s">
        <v>444</v>
      </c>
      <c r="K324" s="12">
        <v>29.9</v>
      </c>
      <c r="L324" s="14">
        <f ca="1">TRUNC((TODAY()-TabelaBase[[#This Row],[Data Nascimento]])/365)</f>
        <v>35</v>
      </c>
      <c r="M324" s="14" t="str">
        <f ca="1">HLOOKUP(TabelaBase[[#This Row],[Idade]],$O$3:$R$4,2,TRUE)</f>
        <v>35 - 44</v>
      </c>
    </row>
    <row r="325" spans="2:13" x14ac:dyDescent="0.3">
      <c r="B325" s="11">
        <v>43809437545</v>
      </c>
      <c r="C325" t="s">
        <v>281</v>
      </c>
      <c r="D325" t="s">
        <v>5</v>
      </c>
      <c r="E325" t="s">
        <v>417</v>
      </c>
      <c r="F325" t="s">
        <v>427</v>
      </c>
      <c r="G325" t="s">
        <v>425</v>
      </c>
      <c r="H325" s="1">
        <v>26747</v>
      </c>
      <c r="I325" s="1" t="s">
        <v>436</v>
      </c>
      <c r="J325" t="s">
        <v>445</v>
      </c>
      <c r="K325" s="12">
        <v>35.9</v>
      </c>
      <c r="L325" s="14">
        <f ca="1">TRUNC((TODAY()-TabelaBase[[#This Row],[Data Nascimento]])/365)</f>
        <v>52</v>
      </c>
      <c r="M325" s="14" t="str">
        <f ca="1">HLOOKUP(TabelaBase[[#This Row],[Idade]],$O$3:$R$4,2,TRUE)</f>
        <v>44 - 54</v>
      </c>
    </row>
    <row r="326" spans="2:13" x14ac:dyDescent="0.3">
      <c r="B326" s="11">
        <v>43862516707</v>
      </c>
      <c r="C326" t="s">
        <v>235</v>
      </c>
      <c r="D326" t="s">
        <v>6</v>
      </c>
      <c r="E326" t="s">
        <v>417</v>
      </c>
      <c r="F326" t="s">
        <v>12</v>
      </c>
      <c r="G326" t="s">
        <v>425</v>
      </c>
      <c r="H326" s="1">
        <v>25404</v>
      </c>
      <c r="I326" s="1" t="s">
        <v>435</v>
      </c>
      <c r="J326" t="s">
        <v>446</v>
      </c>
      <c r="K326" s="12">
        <v>9.9</v>
      </c>
      <c r="L326" s="14">
        <f ca="1">TRUNC((TODAY()-TabelaBase[[#This Row],[Data Nascimento]])/365)</f>
        <v>56</v>
      </c>
      <c r="M326" s="14" t="str">
        <f ca="1">HLOOKUP(TabelaBase[[#This Row],[Idade]],$O$3:$R$4,2,TRUE)</f>
        <v>54-70</v>
      </c>
    </row>
    <row r="327" spans="2:13" x14ac:dyDescent="0.3">
      <c r="B327" s="11">
        <v>43865627349</v>
      </c>
      <c r="C327" t="s">
        <v>86</v>
      </c>
      <c r="D327" t="s">
        <v>5</v>
      </c>
      <c r="E327" t="s">
        <v>417</v>
      </c>
      <c r="F327" t="s">
        <v>13</v>
      </c>
      <c r="G327" t="s">
        <v>426</v>
      </c>
      <c r="H327" s="1">
        <v>29875</v>
      </c>
      <c r="I327" s="1" t="s">
        <v>433</v>
      </c>
      <c r="J327" t="s">
        <v>446</v>
      </c>
      <c r="K327" s="12">
        <v>9.9</v>
      </c>
      <c r="L327" s="14">
        <f ca="1">TRUNC((TODAY()-TabelaBase[[#This Row],[Data Nascimento]])/365)</f>
        <v>44</v>
      </c>
      <c r="M327" s="14" t="str">
        <f ca="1">HLOOKUP(TabelaBase[[#This Row],[Idade]],$O$3:$R$4,2,TRUE)</f>
        <v>44 - 54</v>
      </c>
    </row>
    <row r="328" spans="2:13" x14ac:dyDescent="0.3">
      <c r="B328" s="11">
        <v>43955177890</v>
      </c>
      <c r="C328" t="s">
        <v>165</v>
      </c>
      <c r="D328" t="s">
        <v>5</v>
      </c>
      <c r="E328" t="s">
        <v>7</v>
      </c>
      <c r="F328" t="s">
        <v>427</v>
      </c>
      <c r="G328" t="s">
        <v>425</v>
      </c>
      <c r="H328" s="1">
        <v>27565</v>
      </c>
      <c r="I328" s="1" t="s">
        <v>433</v>
      </c>
      <c r="J328" t="s">
        <v>446</v>
      </c>
      <c r="K328" s="12">
        <v>9.9</v>
      </c>
      <c r="L328" s="14">
        <f ca="1">TRUNC((TODAY()-TabelaBase[[#This Row],[Data Nascimento]])/365)</f>
        <v>50</v>
      </c>
      <c r="M328" s="14" t="str">
        <f ca="1">HLOOKUP(TabelaBase[[#This Row],[Idade]],$O$3:$R$4,2,TRUE)</f>
        <v>44 - 54</v>
      </c>
    </row>
    <row r="329" spans="2:13" x14ac:dyDescent="0.3">
      <c r="B329" s="11">
        <v>43990474257</v>
      </c>
      <c r="C329" t="s">
        <v>142</v>
      </c>
      <c r="D329" t="s">
        <v>6</v>
      </c>
      <c r="E329" t="s">
        <v>8</v>
      </c>
      <c r="F329" t="s">
        <v>427</v>
      </c>
      <c r="G329" t="s">
        <v>424</v>
      </c>
      <c r="H329" s="1">
        <v>28750</v>
      </c>
      <c r="I329" s="1" t="s">
        <v>433</v>
      </c>
      <c r="J329" t="s">
        <v>444</v>
      </c>
      <c r="K329" s="12">
        <v>29.9</v>
      </c>
      <c r="L329" s="14">
        <f ca="1">TRUNC((TODAY()-TabelaBase[[#This Row],[Data Nascimento]])/365)</f>
        <v>47</v>
      </c>
      <c r="M329" s="14" t="str">
        <f ca="1">HLOOKUP(TabelaBase[[#This Row],[Idade]],$O$3:$R$4,2,TRUE)</f>
        <v>44 - 54</v>
      </c>
    </row>
    <row r="330" spans="2:13" x14ac:dyDescent="0.3">
      <c r="B330" s="11">
        <v>44079062916</v>
      </c>
      <c r="C330" t="s">
        <v>279</v>
      </c>
      <c r="D330" t="s">
        <v>6</v>
      </c>
      <c r="E330" t="s">
        <v>8</v>
      </c>
      <c r="F330" t="s">
        <v>9</v>
      </c>
      <c r="G330" t="s">
        <v>425</v>
      </c>
      <c r="H330" s="1">
        <v>30816</v>
      </c>
      <c r="I330" s="1" t="s">
        <v>433</v>
      </c>
      <c r="J330" t="s">
        <v>444</v>
      </c>
      <c r="K330" s="12">
        <v>29.9</v>
      </c>
      <c r="L330" s="14">
        <f ca="1">TRUNC((TODAY()-TabelaBase[[#This Row],[Data Nascimento]])/365)</f>
        <v>41</v>
      </c>
      <c r="M330" s="14" t="str">
        <f ca="1">HLOOKUP(TabelaBase[[#This Row],[Idade]],$O$3:$R$4,2,TRUE)</f>
        <v>35 - 44</v>
      </c>
    </row>
    <row r="331" spans="2:13" x14ac:dyDescent="0.3">
      <c r="B331" s="11">
        <v>44113863787</v>
      </c>
      <c r="C331" t="s">
        <v>343</v>
      </c>
      <c r="D331" t="s">
        <v>5</v>
      </c>
      <c r="E331" t="s">
        <v>7</v>
      </c>
      <c r="F331" t="s">
        <v>12</v>
      </c>
      <c r="G331" t="s">
        <v>424</v>
      </c>
      <c r="H331" s="1">
        <v>26021</v>
      </c>
      <c r="I331" s="1" t="s">
        <v>433</v>
      </c>
      <c r="J331" t="s">
        <v>447</v>
      </c>
      <c r="K331" s="12">
        <v>79.900000000000006</v>
      </c>
      <c r="L331" s="14">
        <f ca="1">TRUNC((TODAY()-TabelaBase[[#This Row],[Data Nascimento]])/365)</f>
        <v>54</v>
      </c>
      <c r="M331" s="14" t="str">
        <f ca="1">HLOOKUP(TabelaBase[[#This Row],[Idade]],$O$3:$R$4,2,TRUE)</f>
        <v>54-70</v>
      </c>
    </row>
    <row r="332" spans="2:13" x14ac:dyDescent="0.3">
      <c r="B332" s="11">
        <v>44133248813</v>
      </c>
      <c r="C332" t="s">
        <v>120</v>
      </c>
      <c r="D332" t="s">
        <v>6</v>
      </c>
      <c r="E332" t="s">
        <v>7</v>
      </c>
      <c r="F332" t="s">
        <v>13</v>
      </c>
      <c r="G332" t="s">
        <v>426</v>
      </c>
      <c r="H332" s="1">
        <v>31851</v>
      </c>
      <c r="I332" s="1" t="s">
        <v>430</v>
      </c>
      <c r="J332" t="s">
        <v>445</v>
      </c>
      <c r="K332" s="12">
        <v>35.9</v>
      </c>
      <c r="L332" s="14">
        <f ca="1">TRUNC((TODAY()-TabelaBase[[#This Row],[Data Nascimento]])/365)</f>
        <v>38</v>
      </c>
      <c r="M332" s="14" t="str">
        <f ca="1">HLOOKUP(TabelaBase[[#This Row],[Idade]],$O$3:$R$4,2,TRUE)</f>
        <v>35 - 44</v>
      </c>
    </row>
    <row r="333" spans="2:13" x14ac:dyDescent="0.3">
      <c r="B333" s="11">
        <v>44417946805</v>
      </c>
      <c r="C333" t="s">
        <v>313</v>
      </c>
      <c r="D333" t="s">
        <v>6</v>
      </c>
      <c r="E333" t="s">
        <v>7</v>
      </c>
      <c r="F333" t="s">
        <v>12</v>
      </c>
      <c r="G333" t="s">
        <v>424</v>
      </c>
      <c r="H333" s="1">
        <v>28177</v>
      </c>
      <c r="I333" s="1" t="s">
        <v>429</v>
      </c>
      <c r="J333" t="s">
        <v>445</v>
      </c>
      <c r="K333" s="12">
        <v>35.9</v>
      </c>
      <c r="L333" s="14">
        <f ca="1">TRUNC((TODAY()-TabelaBase[[#This Row],[Data Nascimento]])/365)</f>
        <v>48</v>
      </c>
      <c r="M333" s="14" t="str">
        <f ca="1">HLOOKUP(TabelaBase[[#This Row],[Idade]],$O$3:$R$4,2,TRUE)</f>
        <v>44 - 54</v>
      </c>
    </row>
    <row r="334" spans="2:13" x14ac:dyDescent="0.3">
      <c r="B334" s="11">
        <v>44517150220</v>
      </c>
      <c r="C334" t="s">
        <v>26</v>
      </c>
      <c r="D334" t="s">
        <v>5</v>
      </c>
      <c r="E334" t="s">
        <v>417</v>
      </c>
      <c r="F334" t="s">
        <v>13</v>
      </c>
      <c r="G334" t="s">
        <v>426</v>
      </c>
      <c r="H334" s="1">
        <v>32994</v>
      </c>
      <c r="I334" s="1" t="s">
        <v>431</v>
      </c>
      <c r="J334" t="s">
        <v>447</v>
      </c>
      <c r="K334" s="12">
        <v>79.900000000000006</v>
      </c>
      <c r="L334" s="14">
        <f ca="1">TRUNC((TODAY()-TabelaBase[[#This Row],[Data Nascimento]])/365)</f>
        <v>35</v>
      </c>
      <c r="M334" s="14" t="str">
        <f ca="1">HLOOKUP(TabelaBase[[#This Row],[Idade]],$O$3:$R$4,2,TRUE)</f>
        <v>35 - 44</v>
      </c>
    </row>
    <row r="335" spans="2:13" x14ac:dyDescent="0.3">
      <c r="B335" s="11">
        <v>44641671343</v>
      </c>
      <c r="C335" t="s">
        <v>280</v>
      </c>
      <c r="D335" t="s">
        <v>6</v>
      </c>
      <c r="E335" t="s">
        <v>7</v>
      </c>
      <c r="F335" t="s">
        <v>14</v>
      </c>
      <c r="G335" t="s">
        <v>426</v>
      </c>
      <c r="H335" s="1">
        <v>27549</v>
      </c>
      <c r="I335" s="1" t="s">
        <v>432</v>
      </c>
      <c r="J335" t="s">
        <v>446</v>
      </c>
      <c r="K335" s="12">
        <v>9.9</v>
      </c>
      <c r="L335" s="14">
        <f ca="1">TRUNC((TODAY()-TabelaBase[[#This Row],[Data Nascimento]])/365)</f>
        <v>50</v>
      </c>
      <c r="M335" s="14" t="str">
        <f ca="1">HLOOKUP(TabelaBase[[#This Row],[Idade]],$O$3:$R$4,2,TRUE)</f>
        <v>44 - 54</v>
      </c>
    </row>
    <row r="336" spans="2:13" x14ac:dyDescent="0.3">
      <c r="B336" s="11">
        <v>44675229890</v>
      </c>
      <c r="C336" t="s">
        <v>42</v>
      </c>
      <c r="D336" t="s">
        <v>5</v>
      </c>
      <c r="E336" t="s">
        <v>8</v>
      </c>
      <c r="F336" t="s">
        <v>11</v>
      </c>
      <c r="G336" t="s">
        <v>424</v>
      </c>
      <c r="H336" s="1">
        <v>31308</v>
      </c>
      <c r="I336" s="1" t="s">
        <v>434</v>
      </c>
      <c r="J336" t="s">
        <v>447</v>
      </c>
      <c r="K336" s="12">
        <v>79.900000000000006</v>
      </c>
      <c r="L336" s="14">
        <f ca="1">TRUNC((TODAY()-TabelaBase[[#This Row],[Data Nascimento]])/365)</f>
        <v>40</v>
      </c>
      <c r="M336" s="14" t="str">
        <f ca="1">HLOOKUP(TabelaBase[[#This Row],[Idade]],$O$3:$R$4,2,TRUE)</f>
        <v>35 - 44</v>
      </c>
    </row>
    <row r="337" spans="2:13" x14ac:dyDescent="0.3">
      <c r="B337" s="11">
        <v>44780102027</v>
      </c>
      <c r="C337" t="s">
        <v>398</v>
      </c>
      <c r="D337" t="s">
        <v>5</v>
      </c>
      <c r="E337" t="s">
        <v>416</v>
      </c>
      <c r="F337" t="s">
        <v>13</v>
      </c>
      <c r="G337" t="s">
        <v>426</v>
      </c>
      <c r="H337" s="1">
        <v>32123</v>
      </c>
      <c r="I337" s="1" t="s">
        <v>430</v>
      </c>
      <c r="J337" t="s">
        <v>446</v>
      </c>
      <c r="K337" s="12">
        <v>9.9</v>
      </c>
      <c r="L337" s="14">
        <f ca="1">TRUNC((TODAY()-TabelaBase[[#This Row],[Data Nascimento]])/365)</f>
        <v>38</v>
      </c>
      <c r="M337" s="14" t="str">
        <f ca="1">HLOOKUP(TabelaBase[[#This Row],[Idade]],$O$3:$R$4,2,TRUE)</f>
        <v>35 - 44</v>
      </c>
    </row>
    <row r="338" spans="2:13" x14ac:dyDescent="0.3">
      <c r="B338" s="11">
        <v>44780432801</v>
      </c>
      <c r="C338" t="s">
        <v>390</v>
      </c>
      <c r="D338" t="s">
        <v>5</v>
      </c>
      <c r="E338" t="s">
        <v>7</v>
      </c>
      <c r="F338" t="s">
        <v>11</v>
      </c>
      <c r="G338" t="s">
        <v>426</v>
      </c>
      <c r="H338" s="1">
        <v>33672</v>
      </c>
      <c r="I338" s="1" t="s">
        <v>435</v>
      </c>
      <c r="J338" t="s">
        <v>447</v>
      </c>
      <c r="K338" s="12">
        <v>79.900000000000006</v>
      </c>
      <c r="L338" s="14">
        <f ca="1">TRUNC((TODAY()-TabelaBase[[#This Row],[Data Nascimento]])/365)</f>
        <v>33</v>
      </c>
      <c r="M338" s="14" t="str">
        <f ca="1">HLOOKUP(TabelaBase[[#This Row],[Idade]],$O$3:$R$4,2,TRUE)</f>
        <v>24-34</v>
      </c>
    </row>
    <row r="339" spans="2:13" x14ac:dyDescent="0.3">
      <c r="B339" s="11">
        <v>44873409921</v>
      </c>
      <c r="C339" t="s">
        <v>118</v>
      </c>
      <c r="D339" t="s">
        <v>5</v>
      </c>
      <c r="E339" t="s">
        <v>417</v>
      </c>
      <c r="F339" t="s">
        <v>427</v>
      </c>
      <c r="G339" t="s">
        <v>426</v>
      </c>
      <c r="H339" s="1">
        <v>31040</v>
      </c>
      <c r="I339" s="1" t="s">
        <v>436</v>
      </c>
      <c r="J339" t="s">
        <v>444</v>
      </c>
      <c r="K339" s="12">
        <v>29.9</v>
      </c>
      <c r="L339" s="14">
        <f ca="1">TRUNC((TODAY()-TabelaBase[[#This Row],[Data Nascimento]])/365)</f>
        <v>41</v>
      </c>
      <c r="M339" s="14" t="str">
        <f ca="1">HLOOKUP(TabelaBase[[#This Row],[Idade]],$O$3:$R$4,2,TRUE)</f>
        <v>35 - 44</v>
      </c>
    </row>
    <row r="340" spans="2:13" x14ac:dyDescent="0.3">
      <c r="B340" s="11">
        <v>44968480072</v>
      </c>
      <c r="C340" t="s">
        <v>143</v>
      </c>
      <c r="D340" t="s">
        <v>6</v>
      </c>
      <c r="E340" t="s">
        <v>7</v>
      </c>
      <c r="F340" t="s">
        <v>427</v>
      </c>
      <c r="G340" t="s">
        <v>424</v>
      </c>
      <c r="H340" s="1">
        <v>30279</v>
      </c>
      <c r="I340" s="1" t="s">
        <v>430</v>
      </c>
      <c r="J340" t="s">
        <v>444</v>
      </c>
      <c r="K340" s="12">
        <v>29.9</v>
      </c>
      <c r="L340" s="14">
        <f ca="1">TRUNC((TODAY()-TabelaBase[[#This Row],[Data Nascimento]])/365)</f>
        <v>43</v>
      </c>
      <c r="M340" s="14" t="str">
        <f ca="1">HLOOKUP(TabelaBase[[#This Row],[Idade]],$O$3:$R$4,2,TRUE)</f>
        <v>35 - 44</v>
      </c>
    </row>
    <row r="341" spans="2:13" x14ac:dyDescent="0.3">
      <c r="B341" s="11">
        <v>45034419141</v>
      </c>
      <c r="C341" t="s">
        <v>54</v>
      </c>
      <c r="D341" t="s">
        <v>5</v>
      </c>
      <c r="E341" t="s">
        <v>417</v>
      </c>
      <c r="F341" t="s">
        <v>11</v>
      </c>
      <c r="G341" t="s">
        <v>425</v>
      </c>
      <c r="H341" s="1">
        <v>22505</v>
      </c>
      <c r="I341" s="1" t="s">
        <v>435</v>
      </c>
      <c r="J341" t="s">
        <v>447</v>
      </c>
      <c r="K341" s="12">
        <v>79.900000000000006</v>
      </c>
      <c r="L341" s="14">
        <f ca="1">TRUNC((TODAY()-TabelaBase[[#This Row],[Data Nascimento]])/365)</f>
        <v>64</v>
      </c>
      <c r="M341" s="14" t="str">
        <f ca="1">HLOOKUP(TabelaBase[[#This Row],[Idade]],$O$3:$R$4,2,TRUE)</f>
        <v>54-70</v>
      </c>
    </row>
    <row r="342" spans="2:13" x14ac:dyDescent="0.3">
      <c r="B342" s="11">
        <v>45125322860</v>
      </c>
      <c r="C342" t="s">
        <v>136</v>
      </c>
      <c r="D342" t="s">
        <v>6</v>
      </c>
      <c r="E342" t="s">
        <v>7</v>
      </c>
      <c r="F342" t="s">
        <v>14</v>
      </c>
      <c r="G342" t="s">
        <v>426</v>
      </c>
      <c r="H342" s="1">
        <v>31552</v>
      </c>
      <c r="I342" s="1" t="s">
        <v>436</v>
      </c>
      <c r="J342" t="s">
        <v>446</v>
      </c>
      <c r="K342" s="12">
        <v>9.9</v>
      </c>
      <c r="L342" s="14">
        <f ca="1">TRUNC((TODAY()-TabelaBase[[#This Row],[Data Nascimento]])/365)</f>
        <v>39</v>
      </c>
      <c r="M342" s="14" t="str">
        <f ca="1">HLOOKUP(TabelaBase[[#This Row],[Idade]],$O$3:$R$4,2,TRUE)</f>
        <v>35 - 44</v>
      </c>
    </row>
    <row r="343" spans="2:13" x14ac:dyDescent="0.3">
      <c r="B343" s="11">
        <v>45190223661</v>
      </c>
      <c r="C343" t="s">
        <v>394</v>
      </c>
      <c r="D343" t="s">
        <v>5</v>
      </c>
      <c r="E343" t="s">
        <v>417</v>
      </c>
      <c r="F343" t="s">
        <v>14</v>
      </c>
      <c r="G343" t="s">
        <v>425</v>
      </c>
      <c r="H343" s="1">
        <v>24657</v>
      </c>
      <c r="I343" s="1" t="s">
        <v>433</v>
      </c>
      <c r="J343" t="s">
        <v>444</v>
      </c>
      <c r="K343" s="12">
        <v>29.9</v>
      </c>
      <c r="L343" s="14">
        <f ca="1">TRUNC((TODAY()-TabelaBase[[#This Row],[Data Nascimento]])/365)</f>
        <v>58</v>
      </c>
      <c r="M343" s="14" t="str">
        <f ca="1">HLOOKUP(TabelaBase[[#This Row],[Idade]],$O$3:$R$4,2,TRUE)</f>
        <v>54-70</v>
      </c>
    </row>
    <row r="344" spans="2:13" x14ac:dyDescent="0.3">
      <c r="B344" s="11">
        <v>45305541903</v>
      </c>
      <c r="C344" t="s">
        <v>174</v>
      </c>
      <c r="D344" t="s">
        <v>6</v>
      </c>
      <c r="E344" t="s">
        <v>417</v>
      </c>
      <c r="F344" t="s">
        <v>11</v>
      </c>
      <c r="G344" t="s">
        <v>425</v>
      </c>
      <c r="H344" s="1">
        <v>24382</v>
      </c>
      <c r="I344" s="1" t="s">
        <v>433</v>
      </c>
      <c r="J344" t="s">
        <v>447</v>
      </c>
      <c r="K344" s="12">
        <v>79.900000000000006</v>
      </c>
      <c r="L344" s="14">
        <f ca="1">TRUNC((TODAY()-TabelaBase[[#This Row],[Data Nascimento]])/365)</f>
        <v>59</v>
      </c>
      <c r="M344" s="14" t="str">
        <f ca="1">HLOOKUP(TabelaBase[[#This Row],[Idade]],$O$3:$R$4,2,TRUE)</f>
        <v>54-70</v>
      </c>
    </row>
    <row r="345" spans="2:13" x14ac:dyDescent="0.3">
      <c r="B345" s="11">
        <v>45344898195</v>
      </c>
      <c r="C345" t="s">
        <v>338</v>
      </c>
      <c r="D345" t="s">
        <v>6</v>
      </c>
      <c r="E345" t="s">
        <v>417</v>
      </c>
      <c r="F345" t="s">
        <v>13</v>
      </c>
      <c r="G345" t="s">
        <v>426</v>
      </c>
      <c r="H345" s="1">
        <v>34215</v>
      </c>
      <c r="I345" s="1" t="s">
        <v>433</v>
      </c>
      <c r="J345" t="s">
        <v>447</v>
      </c>
      <c r="K345" s="12">
        <v>79.900000000000006</v>
      </c>
      <c r="L345" s="14">
        <f ca="1">TRUNC((TODAY()-TabelaBase[[#This Row],[Data Nascimento]])/365)</f>
        <v>32</v>
      </c>
      <c r="M345" s="14" t="str">
        <f ca="1">HLOOKUP(TabelaBase[[#This Row],[Idade]],$O$3:$R$4,2,TRUE)</f>
        <v>24-34</v>
      </c>
    </row>
    <row r="346" spans="2:13" x14ac:dyDescent="0.3">
      <c r="B346" s="11">
        <v>45398267634</v>
      </c>
      <c r="C346" t="s">
        <v>307</v>
      </c>
      <c r="D346" t="s">
        <v>5</v>
      </c>
      <c r="E346" t="s">
        <v>7</v>
      </c>
      <c r="F346" t="s">
        <v>12</v>
      </c>
      <c r="G346" t="s">
        <v>425</v>
      </c>
      <c r="H346" s="1">
        <v>34338</v>
      </c>
      <c r="I346" s="1" t="s">
        <v>433</v>
      </c>
      <c r="J346" t="s">
        <v>446</v>
      </c>
      <c r="K346" s="12">
        <v>9.9</v>
      </c>
      <c r="L346" s="14">
        <f ca="1">TRUNC((TODAY()-TabelaBase[[#This Row],[Data Nascimento]])/365)</f>
        <v>32</v>
      </c>
      <c r="M346" s="14" t="str">
        <f ca="1">HLOOKUP(TabelaBase[[#This Row],[Idade]],$O$3:$R$4,2,TRUE)</f>
        <v>24-34</v>
      </c>
    </row>
    <row r="347" spans="2:13" x14ac:dyDescent="0.3">
      <c r="B347" s="11">
        <v>45551104001</v>
      </c>
      <c r="C347" t="s">
        <v>356</v>
      </c>
      <c r="D347" t="s">
        <v>6</v>
      </c>
      <c r="E347" t="s">
        <v>7</v>
      </c>
      <c r="F347" t="s">
        <v>13</v>
      </c>
      <c r="G347" t="s">
        <v>426</v>
      </c>
      <c r="H347" s="1">
        <v>21615</v>
      </c>
      <c r="I347" s="1" t="s">
        <v>433</v>
      </c>
      <c r="J347" t="s">
        <v>446</v>
      </c>
      <c r="K347" s="12">
        <v>9.9</v>
      </c>
      <c r="L347" s="14">
        <f ca="1">TRUNC((TODAY()-TabelaBase[[#This Row],[Data Nascimento]])/365)</f>
        <v>66</v>
      </c>
      <c r="M347" s="14" t="str">
        <f ca="1">HLOOKUP(TabelaBase[[#This Row],[Idade]],$O$3:$R$4,2,TRUE)</f>
        <v>54-70</v>
      </c>
    </row>
    <row r="348" spans="2:13" x14ac:dyDescent="0.3">
      <c r="B348" s="11">
        <v>45591421429</v>
      </c>
      <c r="C348" t="s">
        <v>342</v>
      </c>
      <c r="D348" t="s">
        <v>6</v>
      </c>
      <c r="E348" t="s">
        <v>8</v>
      </c>
      <c r="F348" t="s">
        <v>11</v>
      </c>
      <c r="G348" t="s">
        <v>424</v>
      </c>
      <c r="H348" s="1">
        <v>29906</v>
      </c>
      <c r="I348" s="1" t="s">
        <v>433</v>
      </c>
      <c r="J348" t="s">
        <v>447</v>
      </c>
      <c r="K348" s="12">
        <v>79.900000000000006</v>
      </c>
      <c r="L348" s="14">
        <f ca="1">TRUNC((TODAY()-TabelaBase[[#This Row],[Data Nascimento]])/365)</f>
        <v>44</v>
      </c>
      <c r="M348" s="14" t="str">
        <f ca="1">HLOOKUP(TabelaBase[[#This Row],[Idade]],$O$3:$R$4,2,TRUE)</f>
        <v>44 - 54</v>
      </c>
    </row>
    <row r="349" spans="2:13" x14ac:dyDescent="0.3">
      <c r="B349" s="11">
        <v>45665433109</v>
      </c>
      <c r="C349" t="s">
        <v>43</v>
      </c>
      <c r="D349" t="s">
        <v>6</v>
      </c>
      <c r="E349" t="s">
        <v>7</v>
      </c>
      <c r="F349" t="s">
        <v>12</v>
      </c>
      <c r="G349" t="s">
        <v>424</v>
      </c>
      <c r="H349" s="1">
        <v>29499</v>
      </c>
      <c r="I349" s="1" t="s">
        <v>433</v>
      </c>
      <c r="J349" t="s">
        <v>446</v>
      </c>
      <c r="K349" s="12">
        <v>9.9</v>
      </c>
      <c r="L349" s="14">
        <f ca="1">TRUNC((TODAY()-TabelaBase[[#This Row],[Data Nascimento]])/365)</f>
        <v>45</v>
      </c>
      <c r="M349" s="14" t="str">
        <f ca="1">HLOOKUP(TabelaBase[[#This Row],[Idade]],$O$3:$R$4,2,TRUE)</f>
        <v>44 - 54</v>
      </c>
    </row>
    <row r="350" spans="2:13" x14ac:dyDescent="0.3">
      <c r="B350" s="11">
        <v>45682920544</v>
      </c>
      <c r="C350" t="s">
        <v>233</v>
      </c>
      <c r="D350" t="s">
        <v>5</v>
      </c>
      <c r="E350" t="s">
        <v>7</v>
      </c>
      <c r="F350" t="s">
        <v>427</v>
      </c>
      <c r="G350" t="s">
        <v>424</v>
      </c>
      <c r="H350" s="1">
        <v>32679</v>
      </c>
      <c r="I350" s="1" t="s">
        <v>433</v>
      </c>
      <c r="J350" t="s">
        <v>445</v>
      </c>
      <c r="K350" s="12">
        <v>35.9</v>
      </c>
      <c r="L350" s="14">
        <f ca="1">TRUNC((TODAY()-TabelaBase[[#This Row],[Data Nascimento]])/365)</f>
        <v>36</v>
      </c>
      <c r="M350" s="14" t="str">
        <f ca="1">HLOOKUP(TabelaBase[[#This Row],[Idade]],$O$3:$R$4,2,TRUE)</f>
        <v>35 - 44</v>
      </c>
    </row>
    <row r="351" spans="2:13" x14ac:dyDescent="0.3">
      <c r="B351" s="11">
        <v>45709208362</v>
      </c>
      <c r="C351" t="s">
        <v>189</v>
      </c>
      <c r="D351" t="s">
        <v>5</v>
      </c>
      <c r="E351" t="s">
        <v>8</v>
      </c>
      <c r="F351" t="s">
        <v>427</v>
      </c>
      <c r="G351" t="s">
        <v>425</v>
      </c>
      <c r="H351" s="1">
        <v>22631</v>
      </c>
      <c r="I351" s="1" t="s">
        <v>433</v>
      </c>
      <c r="J351" t="s">
        <v>446</v>
      </c>
      <c r="K351" s="12">
        <v>9.9</v>
      </c>
      <c r="L351" s="14">
        <f ca="1">TRUNC((TODAY()-TabelaBase[[#This Row],[Data Nascimento]])/365)</f>
        <v>64</v>
      </c>
      <c r="M351" s="14" t="str">
        <f ca="1">HLOOKUP(TabelaBase[[#This Row],[Idade]],$O$3:$R$4,2,TRUE)</f>
        <v>54-70</v>
      </c>
    </row>
    <row r="352" spans="2:13" x14ac:dyDescent="0.3">
      <c r="B352" s="11">
        <v>45881940290</v>
      </c>
      <c r="C352" t="s">
        <v>195</v>
      </c>
      <c r="D352" t="s">
        <v>5</v>
      </c>
      <c r="E352" t="s">
        <v>417</v>
      </c>
      <c r="F352" t="s">
        <v>9</v>
      </c>
      <c r="G352" t="s">
        <v>425</v>
      </c>
      <c r="H352" s="1">
        <v>32142</v>
      </c>
      <c r="I352" s="1" t="s">
        <v>429</v>
      </c>
      <c r="J352" t="s">
        <v>446</v>
      </c>
      <c r="K352" s="12">
        <v>9.9</v>
      </c>
      <c r="L352" s="14">
        <f ca="1">TRUNC((TODAY()-TabelaBase[[#This Row],[Data Nascimento]])/365)</f>
        <v>38</v>
      </c>
      <c r="M352" s="14" t="str">
        <f ca="1">HLOOKUP(TabelaBase[[#This Row],[Idade]],$O$3:$R$4,2,TRUE)</f>
        <v>35 - 44</v>
      </c>
    </row>
    <row r="353" spans="2:13" x14ac:dyDescent="0.3">
      <c r="B353" s="11">
        <v>45892038935</v>
      </c>
      <c r="C353" t="s">
        <v>325</v>
      </c>
      <c r="D353" t="s">
        <v>5</v>
      </c>
      <c r="E353" t="s">
        <v>7</v>
      </c>
      <c r="F353" t="s">
        <v>427</v>
      </c>
      <c r="G353" t="s">
        <v>425</v>
      </c>
      <c r="H353" s="1">
        <v>29975</v>
      </c>
      <c r="I353" s="1" t="s">
        <v>432</v>
      </c>
      <c r="J353" t="s">
        <v>445</v>
      </c>
      <c r="K353" s="12">
        <v>35.9</v>
      </c>
      <c r="L353" s="14">
        <f ca="1">TRUNC((TODAY()-TabelaBase[[#This Row],[Data Nascimento]])/365)</f>
        <v>43</v>
      </c>
      <c r="M353" s="14" t="str">
        <f ca="1">HLOOKUP(TabelaBase[[#This Row],[Idade]],$O$3:$R$4,2,TRUE)</f>
        <v>35 - 44</v>
      </c>
    </row>
    <row r="354" spans="2:13" x14ac:dyDescent="0.3">
      <c r="B354" s="11">
        <v>45953823152</v>
      </c>
      <c r="C354" t="s">
        <v>181</v>
      </c>
      <c r="D354" t="s">
        <v>5</v>
      </c>
      <c r="E354" t="s">
        <v>417</v>
      </c>
      <c r="F354" t="s">
        <v>427</v>
      </c>
      <c r="G354" t="s">
        <v>425</v>
      </c>
      <c r="H354" s="1">
        <v>23160</v>
      </c>
      <c r="I354" s="1" t="s">
        <v>436</v>
      </c>
      <c r="J354" t="s">
        <v>445</v>
      </c>
      <c r="K354" s="12">
        <v>35.9</v>
      </c>
      <c r="L354" s="14">
        <f ca="1">TRUNC((TODAY()-TabelaBase[[#This Row],[Data Nascimento]])/365)</f>
        <v>62</v>
      </c>
      <c r="M354" s="14" t="str">
        <f ca="1">HLOOKUP(TabelaBase[[#This Row],[Idade]],$O$3:$R$4,2,TRUE)</f>
        <v>54-70</v>
      </c>
    </row>
    <row r="355" spans="2:13" x14ac:dyDescent="0.3">
      <c r="B355" s="11">
        <v>45961352404</v>
      </c>
      <c r="C355" t="s">
        <v>375</v>
      </c>
      <c r="D355" t="s">
        <v>6</v>
      </c>
      <c r="E355" t="s">
        <v>417</v>
      </c>
      <c r="F355" t="s">
        <v>9</v>
      </c>
      <c r="G355" t="s">
        <v>425</v>
      </c>
      <c r="H355" s="1">
        <v>30770</v>
      </c>
      <c r="I355" s="1" t="s">
        <v>436</v>
      </c>
      <c r="J355" t="s">
        <v>444</v>
      </c>
      <c r="K355" s="12">
        <v>29.9</v>
      </c>
      <c r="L355" s="14">
        <f ca="1">TRUNC((TODAY()-TabelaBase[[#This Row],[Data Nascimento]])/365)</f>
        <v>41</v>
      </c>
      <c r="M355" s="14" t="str">
        <f ca="1">HLOOKUP(TabelaBase[[#This Row],[Idade]],$O$3:$R$4,2,TRUE)</f>
        <v>35 - 44</v>
      </c>
    </row>
    <row r="356" spans="2:13" x14ac:dyDescent="0.3">
      <c r="B356" s="11">
        <v>46126747412</v>
      </c>
      <c r="C356" t="s">
        <v>159</v>
      </c>
      <c r="D356" t="s">
        <v>5</v>
      </c>
      <c r="E356" t="s">
        <v>8</v>
      </c>
      <c r="F356" t="s">
        <v>9</v>
      </c>
      <c r="G356" t="s">
        <v>425</v>
      </c>
      <c r="H356" s="1">
        <v>22827</v>
      </c>
      <c r="I356" s="1" t="s">
        <v>436</v>
      </c>
      <c r="J356" t="s">
        <v>446</v>
      </c>
      <c r="K356" s="12">
        <v>9.9</v>
      </c>
      <c r="L356" s="14">
        <f ca="1">TRUNC((TODAY()-TabelaBase[[#This Row],[Data Nascimento]])/365)</f>
        <v>63</v>
      </c>
      <c r="M356" s="14" t="str">
        <f ca="1">HLOOKUP(TabelaBase[[#This Row],[Idade]],$O$3:$R$4,2,TRUE)</f>
        <v>54-70</v>
      </c>
    </row>
    <row r="357" spans="2:13" x14ac:dyDescent="0.3">
      <c r="B357" s="11">
        <v>46157189382</v>
      </c>
      <c r="C357" t="s">
        <v>290</v>
      </c>
      <c r="D357" t="s">
        <v>6</v>
      </c>
      <c r="E357" t="s">
        <v>7</v>
      </c>
      <c r="F357" t="s">
        <v>13</v>
      </c>
      <c r="G357" t="s">
        <v>426</v>
      </c>
      <c r="H357" s="1">
        <v>25876</v>
      </c>
      <c r="I357" s="1" t="s">
        <v>436</v>
      </c>
      <c r="J357" t="s">
        <v>447</v>
      </c>
      <c r="K357" s="12">
        <v>79.900000000000006</v>
      </c>
      <c r="L357" s="14">
        <f ca="1">TRUNC((TODAY()-TabelaBase[[#This Row],[Data Nascimento]])/365)</f>
        <v>55</v>
      </c>
      <c r="M357" s="14" t="str">
        <f ca="1">HLOOKUP(TabelaBase[[#This Row],[Idade]],$O$3:$R$4,2,TRUE)</f>
        <v>54-70</v>
      </c>
    </row>
    <row r="358" spans="2:13" x14ac:dyDescent="0.3">
      <c r="B358" s="11">
        <v>46205324892</v>
      </c>
      <c r="C358" t="s">
        <v>22</v>
      </c>
      <c r="D358" t="s">
        <v>5</v>
      </c>
      <c r="E358" t="s">
        <v>8</v>
      </c>
      <c r="F358" t="s">
        <v>427</v>
      </c>
      <c r="G358" t="s">
        <v>424</v>
      </c>
      <c r="H358" s="1">
        <v>25099</v>
      </c>
      <c r="I358" s="1" t="s">
        <v>436</v>
      </c>
      <c r="J358" t="s">
        <v>444</v>
      </c>
      <c r="K358" s="12">
        <v>29.9</v>
      </c>
      <c r="L358" s="14">
        <f ca="1">TRUNC((TODAY()-TabelaBase[[#This Row],[Data Nascimento]])/365)</f>
        <v>57</v>
      </c>
      <c r="M358" s="14" t="str">
        <f ca="1">HLOOKUP(TabelaBase[[#This Row],[Idade]],$O$3:$R$4,2,TRUE)</f>
        <v>54-70</v>
      </c>
    </row>
    <row r="359" spans="2:13" x14ac:dyDescent="0.3">
      <c r="B359" s="11">
        <v>46222211142</v>
      </c>
      <c r="C359" t="s">
        <v>391</v>
      </c>
      <c r="D359" t="s">
        <v>6</v>
      </c>
      <c r="E359" t="s">
        <v>417</v>
      </c>
      <c r="F359" t="s">
        <v>12</v>
      </c>
      <c r="G359" t="s">
        <v>424</v>
      </c>
      <c r="H359" s="1">
        <v>21213</v>
      </c>
      <c r="I359" s="1" t="s">
        <v>436</v>
      </c>
      <c r="J359" t="s">
        <v>447</v>
      </c>
      <c r="K359" s="12">
        <v>79.900000000000006</v>
      </c>
      <c r="L359" s="14">
        <f ca="1">TRUNC((TODAY()-TabelaBase[[#This Row],[Data Nascimento]])/365)</f>
        <v>68</v>
      </c>
      <c r="M359" s="14" t="str">
        <f ca="1">HLOOKUP(TabelaBase[[#This Row],[Idade]],$O$3:$R$4,2,TRUE)</f>
        <v>54-70</v>
      </c>
    </row>
    <row r="360" spans="2:13" x14ac:dyDescent="0.3">
      <c r="B360" s="11">
        <v>46344330480</v>
      </c>
      <c r="C360" t="s">
        <v>348</v>
      </c>
      <c r="D360" t="s">
        <v>6</v>
      </c>
      <c r="E360" t="s">
        <v>416</v>
      </c>
      <c r="F360" t="s">
        <v>13</v>
      </c>
      <c r="G360" t="s">
        <v>425</v>
      </c>
      <c r="H360" s="1">
        <v>34083</v>
      </c>
      <c r="I360" s="1" t="s">
        <v>435</v>
      </c>
      <c r="J360" t="s">
        <v>446</v>
      </c>
      <c r="K360" s="12">
        <v>9.9</v>
      </c>
      <c r="L360" s="14">
        <f ca="1">TRUNC((TODAY()-TabelaBase[[#This Row],[Data Nascimento]])/365)</f>
        <v>32</v>
      </c>
      <c r="M360" s="14" t="str">
        <f ca="1">HLOOKUP(TabelaBase[[#This Row],[Idade]],$O$3:$R$4,2,TRUE)</f>
        <v>24-34</v>
      </c>
    </row>
    <row r="361" spans="2:13" x14ac:dyDescent="0.3">
      <c r="B361" s="11">
        <v>46353055602</v>
      </c>
      <c r="C361" t="s">
        <v>373</v>
      </c>
      <c r="D361" t="s">
        <v>6</v>
      </c>
      <c r="E361" t="s">
        <v>7</v>
      </c>
      <c r="F361" t="s">
        <v>427</v>
      </c>
      <c r="G361" t="s">
        <v>424</v>
      </c>
      <c r="H361" s="1">
        <v>22815</v>
      </c>
      <c r="I361" s="1" t="s">
        <v>433</v>
      </c>
      <c r="J361" t="s">
        <v>445</v>
      </c>
      <c r="K361" s="12">
        <v>35.9</v>
      </c>
      <c r="L361" s="14">
        <f ca="1">TRUNC((TODAY()-TabelaBase[[#This Row],[Data Nascimento]])/365)</f>
        <v>63</v>
      </c>
      <c r="M361" s="14" t="str">
        <f ca="1">HLOOKUP(TabelaBase[[#This Row],[Idade]],$O$3:$R$4,2,TRUE)</f>
        <v>54-70</v>
      </c>
    </row>
    <row r="362" spans="2:13" x14ac:dyDescent="0.3">
      <c r="B362" s="11">
        <v>46354255833</v>
      </c>
      <c r="C362" t="s">
        <v>392</v>
      </c>
      <c r="D362" t="s">
        <v>5</v>
      </c>
      <c r="E362" t="s">
        <v>8</v>
      </c>
      <c r="F362" t="s">
        <v>13</v>
      </c>
      <c r="G362" t="s">
        <v>425</v>
      </c>
      <c r="H362" s="1">
        <v>26340</v>
      </c>
      <c r="I362" s="1" t="s">
        <v>433</v>
      </c>
      <c r="J362" t="s">
        <v>444</v>
      </c>
      <c r="K362" s="12">
        <v>29.9</v>
      </c>
      <c r="L362" s="14">
        <f ca="1">TRUNC((TODAY()-TabelaBase[[#This Row],[Data Nascimento]])/365)</f>
        <v>53</v>
      </c>
      <c r="M362" s="14" t="str">
        <f ca="1">HLOOKUP(TabelaBase[[#This Row],[Idade]],$O$3:$R$4,2,TRUE)</f>
        <v>44 - 54</v>
      </c>
    </row>
    <row r="363" spans="2:13" x14ac:dyDescent="0.3">
      <c r="B363" s="11">
        <v>46370856674</v>
      </c>
      <c r="C363" t="s">
        <v>319</v>
      </c>
      <c r="D363" t="s">
        <v>5</v>
      </c>
      <c r="E363" t="s">
        <v>8</v>
      </c>
      <c r="F363" t="s">
        <v>12</v>
      </c>
      <c r="G363" t="s">
        <v>425</v>
      </c>
      <c r="H363" s="1">
        <v>26710</v>
      </c>
      <c r="I363" s="1" t="s">
        <v>433</v>
      </c>
      <c r="J363" t="s">
        <v>447</v>
      </c>
      <c r="K363" s="12">
        <v>79.900000000000006</v>
      </c>
      <c r="L363" s="14">
        <f ca="1">TRUNC((TODAY()-TabelaBase[[#This Row],[Data Nascimento]])/365)</f>
        <v>52</v>
      </c>
      <c r="M363" s="14" t="str">
        <f ca="1">HLOOKUP(TabelaBase[[#This Row],[Idade]],$O$3:$R$4,2,TRUE)</f>
        <v>44 - 54</v>
      </c>
    </row>
    <row r="364" spans="2:13" x14ac:dyDescent="0.3">
      <c r="B364" s="11">
        <v>46447828715</v>
      </c>
      <c r="C364" t="s">
        <v>407</v>
      </c>
      <c r="D364" t="s">
        <v>6</v>
      </c>
      <c r="E364" t="s">
        <v>7</v>
      </c>
      <c r="F364" t="s">
        <v>427</v>
      </c>
      <c r="G364" t="s">
        <v>425</v>
      </c>
      <c r="H364" s="1">
        <v>31371</v>
      </c>
      <c r="I364" s="1" t="s">
        <v>433</v>
      </c>
      <c r="J364" t="s">
        <v>444</v>
      </c>
      <c r="K364" s="12">
        <v>29.9</v>
      </c>
      <c r="L364" s="14">
        <f ca="1">TRUNC((TODAY()-TabelaBase[[#This Row],[Data Nascimento]])/365)</f>
        <v>40</v>
      </c>
      <c r="M364" s="14" t="str">
        <f ca="1">HLOOKUP(TabelaBase[[#This Row],[Idade]],$O$3:$R$4,2,TRUE)</f>
        <v>35 - 44</v>
      </c>
    </row>
    <row r="365" spans="2:13" x14ac:dyDescent="0.3">
      <c r="B365" s="11">
        <v>46483232083</v>
      </c>
      <c r="C365" t="s">
        <v>365</v>
      </c>
      <c r="D365" t="s">
        <v>6</v>
      </c>
      <c r="E365" t="s">
        <v>7</v>
      </c>
      <c r="F365" t="s">
        <v>427</v>
      </c>
      <c r="G365" t="s">
        <v>425</v>
      </c>
      <c r="H365" s="1">
        <v>25253</v>
      </c>
      <c r="I365" s="1" t="s">
        <v>433</v>
      </c>
      <c r="J365" t="s">
        <v>445</v>
      </c>
      <c r="K365" s="12">
        <v>35.9</v>
      </c>
      <c r="L365" s="14">
        <f ca="1">TRUNC((TODAY()-TabelaBase[[#This Row],[Data Nascimento]])/365)</f>
        <v>56</v>
      </c>
      <c r="M365" s="14" t="str">
        <f ca="1">HLOOKUP(TabelaBase[[#This Row],[Idade]],$O$3:$R$4,2,TRUE)</f>
        <v>54-70</v>
      </c>
    </row>
    <row r="366" spans="2:13" x14ac:dyDescent="0.3">
      <c r="B366" s="11">
        <v>46533166609</v>
      </c>
      <c r="C366" t="s">
        <v>283</v>
      </c>
      <c r="D366" t="s">
        <v>6</v>
      </c>
      <c r="E366" t="s">
        <v>7</v>
      </c>
      <c r="F366" t="s">
        <v>12</v>
      </c>
      <c r="G366" t="s">
        <v>424</v>
      </c>
      <c r="H366" s="1">
        <v>33765</v>
      </c>
      <c r="I366" s="1" t="s">
        <v>430</v>
      </c>
      <c r="J366" t="s">
        <v>446</v>
      </c>
      <c r="K366" s="12">
        <v>9.9</v>
      </c>
      <c r="L366" s="14">
        <f ca="1">TRUNC((TODAY()-TabelaBase[[#This Row],[Data Nascimento]])/365)</f>
        <v>33</v>
      </c>
      <c r="M366" s="14" t="str">
        <f ca="1">HLOOKUP(TabelaBase[[#This Row],[Idade]],$O$3:$R$4,2,TRUE)</f>
        <v>24-34</v>
      </c>
    </row>
    <row r="367" spans="2:13" x14ac:dyDescent="0.3">
      <c r="B367" s="11">
        <v>46593413625</v>
      </c>
      <c r="C367" t="s">
        <v>90</v>
      </c>
      <c r="D367" t="s">
        <v>5</v>
      </c>
      <c r="E367" t="s">
        <v>7</v>
      </c>
      <c r="F367" t="s">
        <v>11</v>
      </c>
      <c r="G367" t="s">
        <v>426</v>
      </c>
      <c r="H367" s="1">
        <v>31478</v>
      </c>
      <c r="I367" s="1" t="s">
        <v>429</v>
      </c>
      <c r="J367" t="s">
        <v>447</v>
      </c>
      <c r="K367" s="12">
        <v>79.900000000000006</v>
      </c>
      <c r="L367" s="14">
        <f ca="1">TRUNC((TODAY()-TabelaBase[[#This Row],[Data Nascimento]])/365)</f>
        <v>39</v>
      </c>
      <c r="M367" s="14" t="str">
        <f ca="1">HLOOKUP(TabelaBase[[#This Row],[Idade]],$O$3:$R$4,2,TRUE)</f>
        <v>35 - 44</v>
      </c>
    </row>
    <row r="368" spans="2:13" x14ac:dyDescent="0.3">
      <c r="B368" s="11">
        <v>46610379858</v>
      </c>
      <c r="C368" t="s">
        <v>105</v>
      </c>
      <c r="D368" t="s">
        <v>6</v>
      </c>
      <c r="E368" t="s">
        <v>7</v>
      </c>
      <c r="F368" t="s">
        <v>427</v>
      </c>
      <c r="G368" t="s">
        <v>425</v>
      </c>
      <c r="H368" s="1">
        <v>22932</v>
      </c>
      <c r="I368" s="1" t="s">
        <v>431</v>
      </c>
      <c r="J368" t="s">
        <v>446</v>
      </c>
      <c r="K368" s="12">
        <v>9.9</v>
      </c>
      <c r="L368" s="14">
        <f ca="1">TRUNC((TODAY()-TabelaBase[[#This Row],[Data Nascimento]])/365)</f>
        <v>63</v>
      </c>
      <c r="M368" s="14" t="str">
        <f ca="1">HLOOKUP(TabelaBase[[#This Row],[Idade]],$O$3:$R$4,2,TRUE)</f>
        <v>54-70</v>
      </c>
    </row>
    <row r="369" spans="2:13" x14ac:dyDescent="0.3">
      <c r="B369" s="11">
        <v>46621773048</v>
      </c>
      <c r="C369" t="s">
        <v>379</v>
      </c>
      <c r="D369" t="s">
        <v>6</v>
      </c>
      <c r="E369" t="s">
        <v>8</v>
      </c>
      <c r="F369" t="s">
        <v>12</v>
      </c>
      <c r="G369" t="s">
        <v>426</v>
      </c>
      <c r="H369" s="1">
        <v>23709</v>
      </c>
      <c r="I369" s="1" t="s">
        <v>432</v>
      </c>
      <c r="J369" t="s">
        <v>446</v>
      </c>
      <c r="K369" s="12">
        <v>9.9</v>
      </c>
      <c r="L369" s="14">
        <f ca="1">TRUNC((TODAY()-TabelaBase[[#This Row],[Data Nascimento]])/365)</f>
        <v>61</v>
      </c>
      <c r="M369" s="14" t="str">
        <f ca="1">HLOOKUP(TabelaBase[[#This Row],[Idade]],$O$3:$R$4,2,TRUE)</f>
        <v>54-70</v>
      </c>
    </row>
    <row r="370" spans="2:13" x14ac:dyDescent="0.3">
      <c r="B370" s="11">
        <v>46741073132</v>
      </c>
      <c r="C370" t="s">
        <v>399</v>
      </c>
      <c r="D370" t="s">
        <v>6</v>
      </c>
      <c r="E370" t="s">
        <v>8</v>
      </c>
      <c r="F370" t="s">
        <v>9</v>
      </c>
      <c r="G370" t="s">
        <v>425</v>
      </c>
      <c r="H370" s="1">
        <v>28749</v>
      </c>
      <c r="I370" s="1" t="s">
        <v>434</v>
      </c>
      <c r="J370" t="s">
        <v>446</v>
      </c>
      <c r="K370" s="12">
        <v>9.9</v>
      </c>
      <c r="L370" s="14">
        <f ca="1">TRUNC((TODAY()-TabelaBase[[#This Row],[Data Nascimento]])/365)</f>
        <v>47</v>
      </c>
      <c r="M370" s="14" t="str">
        <f ca="1">HLOOKUP(TabelaBase[[#This Row],[Idade]],$O$3:$R$4,2,TRUE)</f>
        <v>44 - 54</v>
      </c>
    </row>
    <row r="371" spans="2:13" x14ac:dyDescent="0.3">
      <c r="B371" s="11">
        <v>46800162766</v>
      </c>
      <c r="C371" t="s">
        <v>64</v>
      </c>
      <c r="D371" t="s">
        <v>5</v>
      </c>
      <c r="E371" t="s">
        <v>417</v>
      </c>
      <c r="F371" t="s">
        <v>14</v>
      </c>
      <c r="G371" t="s">
        <v>425</v>
      </c>
      <c r="H371" s="1">
        <v>29708</v>
      </c>
      <c r="I371" s="1" t="s">
        <v>430</v>
      </c>
      <c r="J371" t="s">
        <v>444</v>
      </c>
      <c r="K371" s="12">
        <v>29.9</v>
      </c>
      <c r="L371" s="14">
        <f ca="1">TRUNC((TODAY()-TabelaBase[[#This Row],[Data Nascimento]])/365)</f>
        <v>44</v>
      </c>
      <c r="M371" s="14" t="str">
        <f ca="1">HLOOKUP(TabelaBase[[#This Row],[Idade]],$O$3:$R$4,2,TRUE)</f>
        <v>44 - 54</v>
      </c>
    </row>
    <row r="372" spans="2:13" x14ac:dyDescent="0.3">
      <c r="B372" s="11">
        <v>46858118798</v>
      </c>
      <c r="C372" t="s">
        <v>132</v>
      </c>
      <c r="D372" t="s">
        <v>6</v>
      </c>
      <c r="E372" t="s">
        <v>8</v>
      </c>
      <c r="F372" t="s">
        <v>13</v>
      </c>
      <c r="G372" t="s">
        <v>425</v>
      </c>
      <c r="H372" s="1">
        <v>20741</v>
      </c>
      <c r="I372" s="1" t="s">
        <v>435</v>
      </c>
      <c r="J372" t="s">
        <v>446</v>
      </c>
      <c r="K372" s="12">
        <v>9.9</v>
      </c>
      <c r="L372" s="14">
        <f ca="1">TRUNC((TODAY()-TabelaBase[[#This Row],[Data Nascimento]])/365)</f>
        <v>69</v>
      </c>
      <c r="M372" s="14" t="str">
        <f ca="1">HLOOKUP(TabelaBase[[#This Row],[Idade]],$O$3:$R$4,2,TRUE)</f>
        <v>54-70</v>
      </c>
    </row>
    <row r="373" spans="2:13" x14ac:dyDescent="0.3">
      <c r="B373" s="11">
        <v>46884175269</v>
      </c>
      <c r="C373" t="s">
        <v>214</v>
      </c>
      <c r="D373" t="s">
        <v>6</v>
      </c>
      <c r="E373" t="s">
        <v>417</v>
      </c>
      <c r="F373" t="s">
        <v>427</v>
      </c>
      <c r="G373" t="s">
        <v>426</v>
      </c>
      <c r="H373" s="1">
        <v>22480</v>
      </c>
      <c r="I373" s="1" t="s">
        <v>436</v>
      </c>
      <c r="J373" t="s">
        <v>444</v>
      </c>
      <c r="K373" s="12">
        <v>29.9</v>
      </c>
      <c r="L373" s="14">
        <f ca="1">TRUNC((TODAY()-TabelaBase[[#This Row],[Data Nascimento]])/365)</f>
        <v>64</v>
      </c>
      <c r="M373" s="14" t="str">
        <f ca="1">HLOOKUP(TabelaBase[[#This Row],[Idade]],$O$3:$R$4,2,TRUE)</f>
        <v>54-70</v>
      </c>
    </row>
    <row r="374" spans="2:13" x14ac:dyDescent="0.3">
      <c r="B374" s="11">
        <v>47005649054</v>
      </c>
      <c r="C374" t="s">
        <v>329</v>
      </c>
      <c r="D374" t="s">
        <v>5</v>
      </c>
      <c r="E374" t="s">
        <v>8</v>
      </c>
      <c r="F374" t="s">
        <v>427</v>
      </c>
      <c r="G374" t="s">
        <v>424</v>
      </c>
      <c r="H374" s="1">
        <v>28842</v>
      </c>
      <c r="I374" s="1" t="s">
        <v>430</v>
      </c>
      <c r="J374" t="s">
        <v>445</v>
      </c>
      <c r="K374" s="12">
        <v>35.9</v>
      </c>
      <c r="L374" s="14">
        <f ca="1">TRUNC((TODAY()-TabelaBase[[#This Row],[Data Nascimento]])/365)</f>
        <v>47</v>
      </c>
      <c r="M374" s="14" t="str">
        <f ca="1">HLOOKUP(TabelaBase[[#This Row],[Idade]],$O$3:$R$4,2,TRUE)</f>
        <v>44 - 54</v>
      </c>
    </row>
    <row r="375" spans="2:13" x14ac:dyDescent="0.3">
      <c r="B375" s="11">
        <v>47007221276</v>
      </c>
      <c r="C375" t="s">
        <v>29</v>
      </c>
      <c r="D375" t="s">
        <v>6</v>
      </c>
      <c r="E375" t="s">
        <v>8</v>
      </c>
      <c r="F375" t="s">
        <v>427</v>
      </c>
      <c r="G375" t="s">
        <v>426</v>
      </c>
      <c r="H375" s="1">
        <v>26224</v>
      </c>
      <c r="I375" s="1" t="s">
        <v>435</v>
      </c>
      <c r="J375" t="s">
        <v>445</v>
      </c>
      <c r="K375" s="12">
        <v>35.9</v>
      </c>
      <c r="L375" s="14">
        <f ca="1">TRUNC((TODAY()-TabelaBase[[#This Row],[Data Nascimento]])/365)</f>
        <v>54</v>
      </c>
      <c r="M375" s="14" t="str">
        <f ca="1">HLOOKUP(TabelaBase[[#This Row],[Idade]],$O$3:$R$4,2,TRUE)</f>
        <v>54-70</v>
      </c>
    </row>
    <row r="376" spans="2:13" x14ac:dyDescent="0.3">
      <c r="B376" s="11">
        <v>47042599063</v>
      </c>
      <c r="C376" t="s">
        <v>102</v>
      </c>
      <c r="D376" t="s">
        <v>6</v>
      </c>
      <c r="E376" t="s">
        <v>8</v>
      </c>
      <c r="F376" t="s">
        <v>11</v>
      </c>
      <c r="G376" t="s">
        <v>424</v>
      </c>
      <c r="H376" s="1">
        <v>33916</v>
      </c>
      <c r="I376" s="1" t="s">
        <v>436</v>
      </c>
      <c r="J376" t="s">
        <v>447</v>
      </c>
      <c r="K376" s="12">
        <v>79.900000000000006</v>
      </c>
      <c r="L376" s="14">
        <f ca="1">TRUNC((TODAY()-TabelaBase[[#This Row],[Data Nascimento]])/365)</f>
        <v>33</v>
      </c>
      <c r="M376" s="14" t="str">
        <f ca="1">HLOOKUP(TabelaBase[[#This Row],[Idade]],$O$3:$R$4,2,TRUE)</f>
        <v>24-34</v>
      </c>
    </row>
    <row r="377" spans="2:13" x14ac:dyDescent="0.3">
      <c r="B377" s="11">
        <v>47042740325</v>
      </c>
      <c r="C377" t="s">
        <v>292</v>
      </c>
      <c r="D377" t="s">
        <v>5</v>
      </c>
      <c r="E377" t="s">
        <v>8</v>
      </c>
      <c r="F377" t="s">
        <v>14</v>
      </c>
      <c r="G377" t="s">
        <v>425</v>
      </c>
      <c r="H377" s="1">
        <v>31830</v>
      </c>
      <c r="I377" s="1" t="s">
        <v>433</v>
      </c>
      <c r="J377" t="s">
        <v>444</v>
      </c>
      <c r="K377" s="12">
        <v>29.9</v>
      </c>
      <c r="L377" s="14">
        <f ca="1">TRUNC((TODAY()-TabelaBase[[#This Row],[Data Nascimento]])/365)</f>
        <v>38</v>
      </c>
      <c r="M377" s="14" t="str">
        <f ca="1">HLOOKUP(TabelaBase[[#This Row],[Idade]],$O$3:$R$4,2,TRUE)</f>
        <v>35 - 44</v>
      </c>
    </row>
    <row r="378" spans="2:13" x14ac:dyDescent="0.3">
      <c r="B378" s="11">
        <v>47129833052</v>
      </c>
      <c r="C378" t="s">
        <v>278</v>
      </c>
      <c r="D378" t="s">
        <v>6</v>
      </c>
      <c r="E378" t="s">
        <v>417</v>
      </c>
      <c r="F378" t="s">
        <v>13</v>
      </c>
      <c r="G378" t="s">
        <v>426</v>
      </c>
      <c r="H378" s="1">
        <v>24724</v>
      </c>
      <c r="I378" s="1" t="s">
        <v>433</v>
      </c>
      <c r="J378" t="s">
        <v>446</v>
      </c>
      <c r="K378" s="12">
        <v>9.9</v>
      </c>
      <c r="L378" s="14">
        <f ca="1">TRUNC((TODAY()-TabelaBase[[#This Row],[Data Nascimento]])/365)</f>
        <v>58</v>
      </c>
      <c r="M378" s="14" t="str">
        <f ca="1">HLOOKUP(TabelaBase[[#This Row],[Idade]],$O$3:$R$4,2,TRUE)</f>
        <v>54-70</v>
      </c>
    </row>
    <row r="379" spans="2:13" x14ac:dyDescent="0.3">
      <c r="B379" s="11">
        <v>47153877700</v>
      </c>
      <c r="C379" t="s">
        <v>185</v>
      </c>
      <c r="D379" t="s">
        <v>5</v>
      </c>
      <c r="E379" t="s">
        <v>7</v>
      </c>
      <c r="F379" t="s">
        <v>427</v>
      </c>
      <c r="G379" t="s">
        <v>425</v>
      </c>
      <c r="H379" s="1">
        <v>28772</v>
      </c>
      <c r="I379" s="1" t="s">
        <v>433</v>
      </c>
      <c r="J379" t="s">
        <v>445</v>
      </c>
      <c r="K379" s="12">
        <v>35.9</v>
      </c>
      <c r="L379" s="14">
        <f ca="1">TRUNC((TODAY()-TabelaBase[[#This Row],[Data Nascimento]])/365)</f>
        <v>47</v>
      </c>
      <c r="M379" s="14" t="str">
        <f ca="1">HLOOKUP(TabelaBase[[#This Row],[Idade]],$O$3:$R$4,2,TRUE)</f>
        <v>44 - 54</v>
      </c>
    </row>
    <row r="380" spans="2:13" x14ac:dyDescent="0.3">
      <c r="B380" s="11">
        <v>47174082747</v>
      </c>
      <c r="C380" t="s">
        <v>124</v>
      </c>
      <c r="D380" t="s">
        <v>6</v>
      </c>
      <c r="E380" t="s">
        <v>418</v>
      </c>
      <c r="F380" t="s">
        <v>14</v>
      </c>
      <c r="G380" t="s">
        <v>425</v>
      </c>
      <c r="H380" s="1">
        <v>33910</v>
      </c>
      <c r="I380" s="1" t="s">
        <v>433</v>
      </c>
      <c r="J380" t="s">
        <v>444</v>
      </c>
      <c r="K380" s="12">
        <v>29.9</v>
      </c>
      <c r="L380" s="14">
        <f ca="1">TRUNC((TODAY()-TabelaBase[[#This Row],[Data Nascimento]])/365)</f>
        <v>33</v>
      </c>
      <c r="M380" s="14" t="str">
        <f ca="1">HLOOKUP(TabelaBase[[#This Row],[Idade]],$O$3:$R$4,2,TRUE)</f>
        <v>24-34</v>
      </c>
    </row>
    <row r="381" spans="2:13" x14ac:dyDescent="0.3">
      <c r="B381" s="11">
        <v>47188953731</v>
      </c>
      <c r="C381" t="s">
        <v>185</v>
      </c>
      <c r="D381" t="s">
        <v>5</v>
      </c>
      <c r="E381" t="s">
        <v>7</v>
      </c>
      <c r="F381" t="s">
        <v>427</v>
      </c>
      <c r="G381" t="s">
        <v>425</v>
      </c>
      <c r="H381" s="1">
        <v>29434</v>
      </c>
      <c r="I381" s="1" t="s">
        <v>433</v>
      </c>
      <c r="J381" t="s">
        <v>445</v>
      </c>
      <c r="K381" s="12">
        <v>35.9</v>
      </c>
      <c r="L381" s="14">
        <f ca="1">TRUNC((TODAY()-TabelaBase[[#This Row],[Data Nascimento]])/365)</f>
        <v>45</v>
      </c>
      <c r="M381" s="14" t="str">
        <f ca="1">HLOOKUP(TabelaBase[[#This Row],[Idade]],$O$3:$R$4,2,TRUE)</f>
        <v>44 - 54</v>
      </c>
    </row>
    <row r="382" spans="2:13" x14ac:dyDescent="0.3">
      <c r="B382" s="11">
        <v>47208400662</v>
      </c>
      <c r="C382" t="s">
        <v>171</v>
      </c>
      <c r="D382" t="s">
        <v>6</v>
      </c>
      <c r="E382" t="s">
        <v>416</v>
      </c>
      <c r="F382" t="s">
        <v>9</v>
      </c>
      <c r="G382" t="s">
        <v>424</v>
      </c>
      <c r="H382" s="1">
        <v>28549</v>
      </c>
      <c r="I382" s="1" t="s">
        <v>433</v>
      </c>
      <c r="J382" t="s">
        <v>446</v>
      </c>
      <c r="K382" s="12">
        <v>9.9</v>
      </c>
      <c r="L382" s="14">
        <f ca="1">TRUNC((TODAY()-TabelaBase[[#This Row],[Data Nascimento]])/365)</f>
        <v>47</v>
      </c>
      <c r="M382" s="14" t="str">
        <f ca="1">HLOOKUP(TabelaBase[[#This Row],[Idade]],$O$3:$R$4,2,TRUE)</f>
        <v>44 - 54</v>
      </c>
    </row>
    <row r="383" spans="2:13" x14ac:dyDescent="0.3">
      <c r="B383" s="11">
        <v>47245946960</v>
      </c>
      <c r="C383" t="s">
        <v>19</v>
      </c>
      <c r="D383" t="s">
        <v>6</v>
      </c>
      <c r="E383" t="s">
        <v>8</v>
      </c>
      <c r="F383" t="s">
        <v>12</v>
      </c>
      <c r="G383" t="s">
        <v>426</v>
      </c>
      <c r="H383" s="1">
        <v>29352</v>
      </c>
      <c r="I383" s="1" t="s">
        <v>433</v>
      </c>
      <c r="J383" t="s">
        <v>446</v>
      </c>
      <c r="K383" s="12">
        <v>9.9</v>
      </c>
      <c r="L383" s="14">
        <f ca="1">TRUNC((TODAY()-TabelaBase[[#This Row],[Data Nascimento]])/365)</f>
        <v>45</v>
      </c>
      <c r="M383" s="14" t="str">
        <f ca="1">HLOOKUP(TabelaBase[[#This Row],[Idade]],$O$3:$R$4,2,TRUE)</f>
        <v>44 - 54</v>
      </c>
    </row>
    <row r="384" spans="2:13" x14ac:dyDescent="0.3">
      <c r="B384" s="11">
        <v>47365199226</v>
      </c>
      <c r="C384" t="s">
        <v>242</v>
      </c>
      <c r="D384" t="s">
        <v>6</v>
      </c>
      <c r="E384" t="s">
        <v>8</v>
      </c>
      <c r="F384" t="s">
        <v>13</v>
      </c>
      <c r="G384" t="s">
        <v>424</v>
      </c>
      <c r="H384" s="1">
        <v>32275</v>
      </c>
      <c r="I384" s="1" t="s">
        <v>433</v>
      </c>
      <c r="J384" t="s">
        <v>447</v>
      </c>
      <c r="K384" s="12">
        <v>79.900000000000006</v>
      </c>
      <c r="L384" s="14">
        <f ca="1">TRUNC((TODAY()-TabelaBase[[#This Row],[Data Nascimento]])/365)</f>
        <v>37</v>
      </c>
      <c r="M384" s="14" t="str">
        <f ca="1">HLOOKUP(TabelaBase[[#This Row],[Idade]],$O$3:$R$4,2,TRUE)</f>
        <v>35 - 44</v>
      </c>
    </row>
    <row r="385" spans="2:13" x14ac:dyDescent="0.3">
      <c r="B385" s="11">
        <v>47372471507</v>
      </c>
      <c r="C385" t="s">
        <v>271</v>
      </c>
      <c r="D385" t="s">
        <v>5</v>
      </c>
      <c r="E385" t="s">
        <v>417</v>
      </c>
      <c r="F385" t="s">
        <v>12</v>
      </c>
      <c r="G385" t="s">
        <v>424</v>
      </c>
      <c r="H385" s="1">
        <v>21726</v>
      </c>
      <c r="I385" s="1" t="s">
        <v>433</v>
      </c>
      <c r="J385" t="s">
        <v>447</v>
      </c>
      <c r="K385" s="12">
        <v>79.900000000000006</v>
      </c>
      <c r="L385" s="14">
        <f ca="1">TRUNC((TODAY()-TabelaBase[[#This Row],[Data Nascimento]])/365)</f>
        <v>66</v>
      </c>
      <c r="M385" s="14" t="str">
        <f ca="1">HLOOKUP(TabelaBase[[#This Row],[Idade]],$O$3:$R$4,2,TRUE)</f>
        <v>54-70</v>
      </c>
    </row>
    <row r="386" spans="2:13" x14ac:dyDescent="0.3">
      <c r="B386" s="11">
        <v>47393301586</v>
      </c>
      <c r="C386" t="s">
        <v>213</v>
      </c>
      <c r="D386" t="s">
        <v>6</v>
      </c>
      <c r="E386" t="s">
        <v>7</v>
      </c>
      <c r="F386" t="s">
        <v>427</v>
      </c>
      <c r="G386" t="s">
        <v>424</v>
      </c>
      <c r="H386" s="1">
        <v>34327</v>
      </c>
      <c r="I386" s="1" t="s">
        <v>429</v>
      </c>
      <c r="J386" t="s">
        <v>446</v>
      </c>
      <c r="K386" s="12">
        <v>9.9</v>
      </c>
      <c r="L386" s="14">
        <f ca="1">TRUNC((TODAY()-TabelaBase[[#This Row],[Data Nascimento]])/365)</f>
        <v>32</v>
      </c>
      <c r="M386" s="14" t="str">
        <f ca="1">HLOOKUP(TabelaBase[[#This Row],[Idade]],$O$3:$R$4,2,TRUE)</f>
        <v>24-34</v>
      </c>
    </row>
    <row r="387" spans="2:13" x14ac:dyDescent="0.3">
      <c r="B387" s="11">
        <v>47497279533</v>
      </c>
      <c r="C387" t="s">
        <v>103</v>
      </c>
      <c r="D387" t="s">
        <v>6</v>
      </c>
      <c r="E387" t="s">
        <v>7</v>
      </c>
      <c r="F387" t="s">
        <v>12</v>
      </c>
      <c r="G387" t="s">
        <v>425</v>
      </c>
      <c r="H387" s="1">
        <v>31175</v>
      </c>
      <c r="I387" s="1" t="s">
        <v>432</v>
      </c>
      <c r="J387" t="s">
        <v>447</v>
      </c>
      <c r="K387" s="12">
        <v>79.900000000000006</v>
      </c>
      <c r="L387" s="14">
        <f ca="1">TRUNC((TODAY()-TabelaBase[[#This Row],[Data Nascimento]])/365)</f>
        <v>40</v>
      </c>
      <c r="M387" s="14" t="str">
        <f ca="1">HLOOKUP(TabelaBase[[#This Row],[Idade]],$O$3:$R$4,2,TRUE)</f>
        <v>35 - 44</v>
      </c>
    </row>
    <row r="388" spans="2:13" x14ac:dyDescent="0.3">
      <c r="B388" s="11">
        <v>47514609560</v>
      </c>
      <c r="C388" t="s">
        <v>360</v>
      </c>
      <c r="D388" t="s">
        <v>6</v>
      </c>
      <c r="E388" t="s">
        <v>7</v>
      </c>
      <c r="F388" t="s">
        <v>13</v>
      </c>
      <c r="G388" t="s">
        <v>426</v>
      </c>
      <c r="H388" s="1">
        <v>22192</v>
      </c>
      <c r="I388" s="1" t="s">
        <v>436</v>
      </c>
      <c r="J388" t="s">
        <v>445</v>
      </c>
      <c r="K388" s="12">
        <v>35.9</v>
      </c>
      <c r="L388" s="14">
        <f ca="1">TRUNC((TODAY()-TabelaBase[[#This Row],[Data Nascimento]])/365)</f>
        <v>65</v>
      </c>
      <c r="M388" s="14" t="str">
        <f ca="1">HLOOKUP(TabelaBase[[#This Row],[Idade]],$O$3:$R$4,2,TRUE)</f>
        <v>54-70</v>
      </c>
    </row>
    <row r="389" spans="2:13" x14ac:dyDescent="0.3">
      <c r="B389" s="11">
        <v>47564971365</v>
      </c>
      <c r="C389" t="s">
        <v>23</v>
      </c>
      <c r="D389" t="s">
        <v>6</v>
      </c>
      <c r="E389" t="s">
        <v>7</v>
      </c>
      <c r="F389" t="s">
        <v>427</v>
      </c>
      <c r="G389" t="s">
        <v>424</v>
      </c>
      <c r="H389" s="1">
        <v>30642</v>
      </c>
      <c r="I389" s="1" t="s">
        <v>436</v>
      </c>
      <c r="J389" t="s">
        <v>444</v>
      </c>
      <c r="K389" s="12">
        <v>29.9</v>
      </c>
      <c r="L389" s="14">
        <f ca="1">TRUNC((TODAY()-TabelaBase[[#This Row],[Data Nascimento]])/365)</f>
        <v>42</v>
      </c>
      <c r="M389" s="14" t="str">
        <f ca="1">HLOOKUP(TabelaBase[[#This Row],[Idade]],$O$3:$R$4,2,TRUE)</f>
        <v>35 - 44</v>
      </c>
    </row>
    <row r="390" spans="2:13" x14ac:dyDescent="0.3">
      <c r="B390" s="11">
        <v>47725755906</v>
      </c>
      <c r="C390" t="s">
        <v>220</v>
      </c>
      <c r="D390" t="s">
        <v>6</v>
      </c>
      <c r="E390" t="s">
        <v>7</v>
      </c>
      <c r="F390" t="s">
        <v>14</v>
      </c>
      <c r="G390" t="s">
        <v>425</v>
      </c>
      <c r="H390" s="1">
        <v>32268</v>
      </c>
      <c r="I390" s="1" t="s">
        <v>436</v>
      </c>
      <c r="J390" t="s">
        <v>444</v>
      </c>
      <c r="K390" s="12">
        <v>29.9</v>
      </c>
      <c r="L390" s="14">
        <f ca="1">TRUNC((TODAY()-TabelaBase[[#This Row],[Data Nascimento]])/365)</f>
        <v>37</v>
      </c>
      <c r="M390" s="14" t="str">
        <f ca="1">HLOOKUP(TabelaBase[[#This Row],[Idade]],$O$3:$R$4,2,TRUE)</f>
        <v>35 - 44</v>
      </c>
    </row>
    <row r="391" spans="2:13" x14ac:dyDescent="0.3">
      <c r="B391" s="11">
        <v>47745382527</v>
      </c>
      <c r="C391" t="s">
        <v>260</v>
      </c>
      <c r="D391" t="s">
        <v>6</v>
      </c>
      <c r="E391" t="s">
        <v>7</v>
      </c>
      <c r="F391" t="s">
        <v>13</v>
      </c>
      <c r="G391" t="s">
        <v>425</v>
      </c>
      <c r="H391" s="1">
        <v>32073</v>
      </c>
      <c r="I391" s="1" t="s">
        <v>436</v>
      </c>
      <c r="J391" t="s">
        <v>446</v>
      </c>
      <c r="K391" s="12">
        <v>9.9</v>
      </c>
      <c r="L391" s="14">
        <f ca="1">TRUNC((TODAY()-TabelaBase[[#This Row],[Data Nascimento]])/365)</f>
        <v>38</v>
      </c>
      <c r="M391" s="14" t="str">
        <f ca="1">HLOOKUP(TabelaBase[[#This Row],[Idade]],$O$3:$R$4,2,TRUE)</f>
        <v>35 - 44</v>
      </c>
    </row>
    <row r="392" spans="2:13" x14ac:dyDescent="0.3">
      <c r="B392" s="11">
        <v>47840676137</v>
      </c>
      <c r="C392" t="s">
        <v>342</v>
      </c>
      <c r="D392" t="s">
        <v>6</v>
      </c>
      <c r="E392" t="s">
        <v>8</v>
      </c>
      <c r="F392" t="s">
        <v>11</v>
      </c>
      <c r="G392" t="s">
        <v>424</v>
      </c>
      <c r="H392" s="1">
        <v>23864</v>
      </c>
      <c r="I392" s="1" t="s">
        <v>436</v>
      </c>
      <c r="J392" t="s">
        <v>447</v>
      </c>
      <c r="K392" s="12">
        <v>79.900000000000006</v>
      </c>
      <c r="L392" s="14">
        <f ca="1">TRUNC((TODAY()-TabelaBase[[#This Row],[Data Nascimento]])/365)</f>
        <v>60</v>
      </c>
      <c r="M392" s="14" t="str">
        <f ca="1">HLOOKUP(TabelaBase[[#This Row],[Idade]],$O$3:$R$4,2,TRUE)</f>
        <v>54-70</v>
      </c>
    </row>
    <row r="393" spans="2:13" x14ac:dyDescent="0.3">
      <c r="B393" s="11">
        <v>47885298863</v>
      </c>
      <c r="C393" t="s">
        <v>333</v>
      </c>
      <c r="D393" t="s">
        <v>5</v>
      </c>
      <c r="E393" t="s">
        <v>7</v>
      </c>
      <c r="F393" t="s">
        <v>427</v>
      </c>
      <c r="G393" t="s">
        <v>424</v>
      </c>
      <c r="H393" s="1">
        <v>25907</v>
      </c>
      <c r="I393" s="1" t="s">
        <v>436</v>
      </c>
      <c r="J393" t="s">
        <v>446</v>
      </c>
      <c r="K393" s="12">
        <v>9.9</v>
      </c>
      <c r="L393" s="14">
        <f ca="1">TRUNC((TODAY()-TabelaBase[[#This Row],[Data Nascimento]])/365)</f>
        <v>55</v>
      </c>
      <c r="M393" s="14" t="str">
        <f ca="1">HLOOKUP(TabelaBase[[#This Row],[Idade]],$O$3:$R$4,2,TRUE)</f>
        <v>54-70</v>
      </c>
    </row>
    <row r="394" spans="2:13" x14ac:dyDescent="0.3">
      <c r="B394" s="11">
        <v>47922430248</v>
      </c>
      <c r="C394" t="s">
        <v>105</v>
      </c>
      <c r="D394" t="s">
        <v>6</v>
      </c>
      <c r="E394" t="s">
        <v>7</v>
      </c>
      <c r="F394" t="s">
        <v>427</v>
      </c>
      <c r="G394" t="s">
        <v>425</v>
      </c>
      <c r="H394" s="1">
        <v>24578</v>
      </c>
      <c r="I394" s="1" t="s">
        <v>435</v>
      </c>
      <c r="J394" t="s">
        <v>446</v>
      </c>
      <c r="K394" s="12">
        <v>9.9</v>
      </c>
      <c r="L394" s="14">
        <f ca="1">TRUNC((TODAY()-TabelaBase[[#This Row],[Data Nascimento]])/365)</f>
        <v>58</v>
      </c>
      <c r="M394" s="14" t="str">
        <f ca="1">HLOOKUP(TabelaBase[[#This Row],[Idade]],$O$3:$R$4,2,TRUE)</f>
        <v>54-70</v>
      </c>
    </row>
    <row r="395" spans="2:13" x14ac:dyDescent="0.3">
      <c r="B395" s="11">
        <v>47979032104</v>
      </c>
      <c r="C395" t="s">
        <v>166</v>
      </c>
      <c r="D395" t="s">
        <v>5</v>
      </c>
      <c r="E395" t="s">
        <v>417</v>
      </c>
      <c r="F395" t="s">
        <v>427</v>
      </c>
      <c r="G395" t="s">
        <v>426</v>
      </c>
      <c r="H395" s="1">
        <v>25909</v>
      </c>
      <c r="I395" s="1" t="s">
        <v>433</v>
      </c>
      <c r="J395" t="s">
        <v>444</v>
      </c>
      <c r="K395" s="12">
        <v>29.9</v>
      </c>
      <c r="L395" s="14">
        <f ca="1">TRUNC((TODAY()-TabelaBase[[#This Row],[Data Nascimento]])/365)</f>
        <v>55</v>
      </c>
      <c r="M395" s="14" t="str">
        <f ca="1">HLOOKUP(TabelaBase[[#This Row],[Idade]],$O$3:$R$4,2,TRUE)</f>
        <v>54-70</v>
      </c>
    </row>
    <row r="396" spans="2:13" x14ac:dyDescent="0.3">
      <c r="B396" s="11">
        <v>48007068927</v>
      </c>
      <c r="C396" t="s">
        <v>349</v>
      </c>
      <c r="D396" t="s">
        <v>5</v>
      </c>
      <c r="E396" t="s">
        <v>8</v>
      </c>
      <c r="F396" t="s">
        <v>427</v>
      </c>
      <c r="G396" t="s">
        <v>426</v>
      </c>
      <c r="H396" s="1">
        <v>30373</v>
      </c>
      <c r="I396" s="1" t="s">
        <v>433</v>
      </c>
      <c r="J396" t="s">
        <v>445</v>
      </c>
      <c r="K396" s="12">
        <v>35.9</v>
      </c>
      <c r="L396" s="14">
        <f ca="1">TRUNC((TODAY()-TabelaBase[[#This Row],[Data Nascimento]])/365)</f>
        <v>42</v>
      </c>
      <c r="M396" s="14" t="str">
        <f ca="1">HLOOKUP(TabelaBase[[#This Row],[Idade]],$O$3:$R$4,2,TRUE)</f>
        <v>35 - 44</v>
      </c>
    </row>
    <row r="397" spans="2:13" x14ac:dyDescent="0.3">
      <c r="B397" s="11">
        <v>48217353343</v>
      </c>
      <c r="C397" t="s">
        <v>408</v>
      </c>
      <c r="D397" t="s">
        <v>5</v>
      </c>
      <c r="E397" t="s">
        <v>416</v>
      </c>
      <c r="F397" t="s">
        <v>13</v>
      </c>
      <c r="G397" t="s">
        <v>425</v>
      </c>
      <c r="H397" s="1">
        <v>22133</v>
      </c>
      <c r="I397" s="1" t="s">
        <v>433</v>
      </c>
      <c r="J397" t="s">
        <v>445</v>
      </c>
      <c r="K397" s="12">
        <v>35.9</v>
      </c>
      <c r="L397" s="14">
        <f ca="1">TRUNC((TODAY()-TabelaBase[[#This Row],[Data Nascimento]])/365)</f>
        <v>65</v>
      </c>
      <c r="M397" s="14" t="str">
        <f ca="1">HLOOKUP(TabelaBase[[#This Row],[Idade]],$O$3:$R$4,2,TRUE)</f>
        <v>54-70</v>
      </c>
    </row>
    <row r="398" spans="2:13" x14ac:dyDescent="0.3">
      <c r="B398" s="11">
        <v>48338358825</v>
      </c>
      <c r="C398" t="s">
        <v>115</v>
      </c>
      <c r="D398" t="s">
        <v>5</v>
      </c>
      <c r="E398" t="s">
        <v>417</v>
      </c>
      <c r="F398" t="s">
        <v>12</v>
      </c>
      <c r="G398" t="s">
        <v>425</v>
      </c>
      <c r="H398" s="1">
        <v>32578</v>
      </c>
      <c r="I398" s="1" t="s">
        <v>433</v>
      </c>
      <c r="J398" t="s">
        <v>446</v>
      </c>
      <c r="K398" s="12">
        <v>9.9</v>
      </c>
      <c r="L398" s="14">
        <f ca="1">TRUNC((TODAY()-TabelaBase[[#This Row],[Data Nascimento]])/365)</f>
        <v>36</v>
      </c>
      <c r="M398" s="14" t="str">
        <f ca="1">HLOOKUP(TabelaBase[[#This Row],[Idade]],$O$3:$R$4,2,TRUE)</f>
        <v>35 - 44</v>
      </c>
    </row>
    <row r="399" spans="2:13" x14ac:dyDescent="0.3">
      <c r="B399" s="11">
        <v>48432971475</v>
      </c>
      <c r="C399" t="s">
        <v>88</v>
      </c>
      <c r="D399" t="s">
        <v>5</v>
      </c>
      <c r="E399" t="s">
        <v>416</v>
      </c>
      <c r="F399" t="s">
        <v>14</v>
      </c>
      <c r="G399" t="s">
        <v>425</v>
      </c>
      <c r="H399" s="1">
        <v>22096</v>
      </c>
      <c r="I399" s="1" t="s">
        <v>433</v>
      </c>
      <c r="J399" t="s">
        <v>446</v>
      </c>
      <c r="K399" s="12">
        <v>9.9</v>
      </c>
      <c r="L399" s="14">
        <f ca="1">TRUNC((TODAY()-TabelaBase[[#This Row],[Data Nascimento]])/365)</f>
        <v>65</v>
      </c>
      <c r="M399" s="14" t="str">
        <f ca="1">HLOOKUP(TabelaBase[[#This Row],[Idade]],$O$3:$R$4,2,TRUE)</f>
        <v>54-70</v>
      </c>
    </row>
    <row r="400" spans="2:13" x14ac:dyDescent="0.3">
      <c r="B400" s="11">
        <v>48460714260</v>
      </c>
      <c r="C400" t="s">
        <v>230</v>
      </c>
      <c r="D400" t="s">
        <v>6</v>
      </c>
      <c r="E400" t="s">
        <v>7</v>
      </c>
      <c r="F400" t="s">
        <v>13</v>
      </c>
      <c r="G400" t="s">
        <v>426</v>
      </c>
      <c r="H400" s="1">
        <v>29222</v>
      </c>
      <c r="I400" s="1" t="s">
        <v>430</v>
      </c>
      <c r="J400" t="s">
        <v>446</v>
      </c>
      <c r="K400" s="12">
        <v>9.9</v>
      </c>
      <c r="L400" s="14">
        <f ca="1">TRUNC((TODAY()-TabelaBase[[#This Row],[Data Nascimento]])/365)</f>
        <v>46</v>
      </c>
      <c r="M400" s="14" t="str">
        <f ca="1">HLOOKUP(TabelaBase[[#This Row],[Idade]],$O$3:$R$4,2,TRUE)</f>
        <v>44 - 54</v>
      </c>
    </row>
    <row r="401" spans="2:13" x14ac:dyDescent="0.3">
      <c r="B401" s="11">
        <v>48465087625</v>
      </c>
      <c r="C401" t="s">
        <v>121</v>
      </c>
      <c r="D401" t="s">
        <v>6</v>
      </c>
      <c r="E401" t="s">
        <v>417</v>
      </c>
      <c r="F401" t="s">
        <v>12</v>
      </c>
      <c r="G401" t="s">
        <v>425</v>
      </c>
      <c r="H401" s="1">
        <v>33148</v>
      </c>
      <c r="I401" s="1" t="s">
        <v>429</v>
      </c>
      <c r="J401" t="s">
        <v>445</v>
      </c>
      <c r="K401" s="12">
        <v>35.9</v>
      </c>
      <c r="L401" s="14">
        <f ca="1">TRUNC((TODAY()-TabelaBase[[#This Row],[Data Nascimento]])/365)</f>
        <v>35</v>
      </c>
      <c r="M401" s="14" t="str">
        <f ca="1">HLOOKUP(TabelaBase[[#This Row],[Idade]],$O$3:$R$4,2,TRUE)</f>
        <v>35 - 44</v>
      </c>
    </row>
    <row r="402" spans="2:13" x14ac:dyDescent="0.3">
      <c r="B402" s="11">
        <v>48537217226</v>
      </c>
      <c r="C402" t="s">
        <v>73</v>
      </c>
      <c r="D402" t="s">
        <v>6</v>
      </c>
      <c r="E402" t="s">
        <v>7</v>
      </c>
      <c r="F402" t="s">
        <v>12</v>
      </c>
      <c r="G402" t="s">
        <v>424</v>
      </c>
      <c r="H402" s="1">
        <v>29697</v>
      </c>
      <c r="I402" s="1" t="s">
        <v>431</v>
      </c>
      <c r="J402" t="s">
        <v>445</v>
      </c>
      <c r="K402" s="12">
        <v>35.9</v>
      </c>
      <c r="L402" s="14">
        <f ca="1">TRUNC((TODAY()-TabelaBase[[#This Row],[Data Nascimento]])/365)</f>
        <v>44</v>
      </c>
      <c r="M402" s="14" t="str">
        <f ca="1">HLOOKUP(TabelaBase[[#This Row],[Idade]],$O$3:$R$4,2,TRUE)</f>
        <v>44 - 54</v>
      </c>
    </row>
    <row r="403" spans="2:13" x14ac:dyDescent="0.3">
      <c r="B403" s="11">
        <v>48554358741</v>
      </c>
      <c r="C403" t="s">
        <v>165</v>
      </c>
      <c r="D403" t="s">
        <v>5</v>
      </c>
      <c r="E403" t="s">
        <v>7</v>
      </c>
      <c r="F403" t="s">
        <v>427</v>
      </c>
      <c r="G403" t="s">
        <v>425</v>
      </c>
      <c r="H403" s="1">
        <v>24514</v>
      </c>
      <c r="I403" s="1" t="s">
        <v>432</v>
      </c>
      <c r="J403" t="s">
        <v>446</v>
      </c>
      <c r="K403" s="12">
        <v>9.9</v>
      </c>
      <c r="L403" s="14">
        <f ca="1">TRUNC((TODAY()-TabelaBase[[#This Row],[Data Nascimento]])/365)</f>
        <v>58</v>
      </c>
      <c r="M403" s="14" t="str">
        <f ca="1">HLOOKUP(TabelaBase[[#This Row],[Idade]],$O$3:$R$4,2,TRUE)</f>
        <v>54-70</v>
      </c>
    </row>
    <row r="404" spans="2:13" x14ac:dyDescent="0.3">
      <c r="B404" s="11">
        <v>48559982420</v>
      </c>
      <c r="C404" t="s">
        <v>93</v>
      </c>
      <c r="D404" t="s">
        <v>6</v>
      </c>
      <c r="E404" t="s">
        <v>7</v>
      </c>
      <c r="F404" t="s">
        <v>427</v>
      </c>
      <c r="G404" t="s">
        <v>424</v>
      </c>
      <c r="H404" s="1">
        <v>23769</v>
      </c>
      <c r="I404" s="1" t="s">
        <v>434</v>
      </c>
      <c r="J404" t="s">
        <v>446</v>
      </c>
      <c r="K404" s="12">
        <v>9.9</v>
      </c>
      <c r="L404" s="14">
        <f ca="1">TRUNC((TODAY()-TabelaBase[[#This Row],[Data Nascimento]])/365)</f>
        <v>61</v>
      </c>
      <c r="M404" s="14" t="str">
        <f ca="1">HLOOKUP(TabelaBase[[#This Row],[Idade]],$O$3:$R$4,2,TRUE)</f>
        <v>54-70</v>
      </c>
    </row>
    <row r="405" spans="2:13" x14ac:dyDescent="0.3">
      <c r="B405" s="11">
        <v>48647651375</v>
      </c>
      <c r="C405" t="s">
        <v>374</v>
      </c>
      <c r="D405" t="s">
        <v>5</v>
      </c>
      <c r="E405" t="s">
        <v>417</v>
      </c>
      <c r="F405" t="s">
        <v>13</v>
      </c>
      <c r="G405" t="s">
        <v>425</v>
      </c>
      <c r="H405" s="1">
        <v>22072</v>
      </c>
      <c r="I405" s="1" t="s">
        <v>430</v>
      </c>
      <c r="J405" t="s">
        <v>446</v>
      </c>
      <c r="K405" s="12">
        <v>9.9</v>
      </c>
      <c r="L405" s="14">
        <f ca="1">TRUNC((TODAY()-TabelaBase[[#This Row],[Data Nascimento]])/365)</f>
        <v>65</v>
      </c>
      <c r="M405" s="14" t="str">
        <f ca="1">HLOOKUP(TabelaBase[[#This Row],[Idade]],$O$3:$R$4,2,TRUE)</f>
        <v>54-70</v>
      </c>
    </row>
    <row r="406" spans="2:13" x14ac:dyDescent="0.3">
      <c r="B406" s="11">
        <v>48711816230</v>
      </c>
      <c r="C406" t="s">
        <v>161</v>
      </c>
      <c r="D406" t="s">
        <v>5</v>
      </c>
      <c r="E406" t="s">
        <v>417</v>
      </c>
      <c r="F406" t="s">
        <v>427</v>
      </c>
      <c r="G406" t="s">
        <v>425</v>
      </c>
      <c r="H406" s="1">
        <v>21718</v>
      </c>
      <c r="I406" s="1" t="s">
        <v>435</v>
      </c>
      <c r="J406" t="s">
        <v>445</v>
      </c>
      <c r="K406" s="12">
        <v>35.9</v>
      </c>
      <c r="L406" s="14">
        <f ca="1">TRUNC((TODAY()-TabelaBase[[#This Row],[Data Nascimento]])/365)</f>
        <v>66</v>
      </c>
      <c r="M406" s="14" t="str">
        <f ca="1">HLOOKUP(TabelaBase[[#This Row],[Idade]],$O$3:$R$4,2,TRUE)</f>
        <v>54-70</v>
      </c>
    </row>
    <row r="407" spans="2:13" x14ac:dyDescent="0.3">
      <c r="B407" s="11">
        <v>48816102229</v>
      </c>
      <c r="C407" t="s">
        <v>385</v>
      </c>
      <c r="D407" t="s">
        <v>6</v>
      </c>
      <c r="E407" t="s">
        <v>7</v>
      </c>
      <c r="F407" t="s">
        <v>12</v>
      </c>
      <c r="G407" t="s">
        <v>425</v>
      </c>
      <c r="H407" s="1">
        <v>29339</v>
      </c>
      <c r="I407" s="1" t="s">
        <v>436</v>
      </c>
      <c r="J407" t="s">
        <v>445</v>
      </c>
      <c r="K407" s="12">
        <v>35.9</v>
      </c>
      <c r="L407" s="14">
        <f ca="1">TRUNC((TODAY()-TabelaBase[[#This Row],[Data Nascimento]])/365)</f>
        <v>45</v>
      </c>
      <c r="M407" s="14" t="str">
        <f ca="1">HLOOKUP(TabelaBase[[#This Row],[Idade]],$O$3:$R$4,2,TRUE)</f>
        <v>44 - 54</v>
      </c>
    </row>
    <row r="408" spans="2:13" x14ac:dyDescent="0.3">
      <c r="B408" s="11">
        <v>48822792088</v>
      </c>
      <c r="C408" t="s">
        <v>57</v>
      </c>
      <c r="D408" t="s">
        <v>6</v>
      </c>
      <c r="E408" t="s">
        <v>7</v>
      </c>
      <c r="F408" t="s">
        <v>427</v>
      </c>
      <c r="G408" t="s">
        <v>425</v>
      </c>
      <c r="H408" s="1">
        <v>30743</v>
      </c>
      <c r="I408" s="1" t="s">
        <v>430</v>
      </c>
      <c r="J408" t="s">
        <v>446</v>
      </c>
      <c r="K408" s="12">
        <v>9.9</v>
      </c>
      <c r="L408" s="14">
        <f ca="1">TRUNC((TODAY()-TabelaBase[[#This Row],[Data Nascimento]])/365)</f>
        <v>41</v>
      </c>
      <c r="M408" s="14" t="str">
        <f ca="1">HLOOKUP(TabelaBase[[#This Row],[Idade]],$O$3:$R$4,2,TRUE)</f>
        <v>35 - 44</v>
      </c>
    </row>
    <row r="409" spans="2:13" x14ac:dyDescent="0.3">
      <c r="B409" s="11">
        <v>48910175046</v>
      </c>
      <c r="C409" t="s">
        <v>24</v>
      </c>
      <c r="D409" t="s">
        <v>5</v>
      </c>
      <c r="E409" t="s">
        <v>417</v>
      </c>
      <c r="F409" t="s">
        <v>13</v>
      </c>
      <c r="G409" t="s">
        <v>425</v>
      </c>
      <c r="H409" s="1">
        <v>22039</v>
      </c>
      <c r="I409" s="1" t="s">
        <v>435</v>
      </c>
      <c r="J409" t="s">
        <v>445</v>
      </c>
      <c r="K409" s="12">
        <v>35.9</v>
      </c>
      <c r="L409" s="14">
        <f ca="1">TRUNC((TODAY()-TabelaBase[[#This Row],[Data Nascimento]])/365)</f>
        <v>65</v>
      </c>
      <c r="M409" s="14" t="str">
        <f ca="1">HLOOKUP(TabelaBase[[#This Row],[Idade]],$O$3:$R$4,2,TRUE)</f>
        <v>54-70</v>
      </c>
    </row>
    <row r="410" spans="2:13" x14ac:dyDescent="0.3">
      <c r="B410" s="11">
        <v>48925097810</v>
      </c>
      <c r="C410" t="s">
        <v>167</v>
      </c>
      <c r="D410" t="s">
        <v>6</v>
      </c>
      <c r="E410" t="s">
        <v>7</v>
      </c>
      <c r="F410" t="s">
        <v>427</v>
      </c>
      <c r="G410" t="s">
        <v>425</v>
      </c>
      <c r="H410" s="1">
        <v>21803</v>
      </c>
      <c r="I410" s="1" t="s">
        <v>436</v>
      </c>
      <c r="J410" t="s">
        <v>444</v>
      </c>
      <c r="K410" s="12">
        <v>29.9</v>
      </c>
      <c r="L410" s="14">
        <f ca="1">TRUNC((TODAY()-TabelaBase[[#This Row],[Data Nascimento]])/365)</f>
        <v>66</v>
      </c>
      <c r="M410" s="14" t="str">
        <f ca="1">HLOOKUP(TabelaBase[[#This Row],[Idade]],$O$3:$R$4,2,TRUE)</f>
        <v>54-70</v>
      </c>
    </row>
    <row r="411" spans="2:13" x14ac:dyDescent="0.3">
      <c r="B411" s="11">
        <v>49017327941</v>
      </c>
      <c r="C411" t="s">
        <v>311</v>
      </c>
      <c r="D411" t="s">
        <v>5</v>
      </c>
      <c r="E411" t="s">
        <v>417</v>
      </c>
      <c r="F411" t="s">
        <v>427</v>
      </c>
      <c r="G411" t="s">
        <v>424</v>
      </c>
      <c r="H411" s="1">
        <v>26953</v>
      </c>
      <c r="I411" s="1" t="s">
        <v>433</v>
      </c>
      <c r="J411" t="s">
        <v>444</v>
      </c>
      <c r="K411" s="12">
        <v>29.9</v>
      </c>
      <c r="L411" s="14">
        <f ca="1">TRUNC((TODAY()-TabelaBase[[#This Row],[Data Nascimento]])/365)</f>
        <v>52</v>
      </c>
      <c r="M411" s="14" t="str">
        <f ca="1">HLOOKUP(TabelaBase[[#This Row],[Idade]],$O$3:$R$4,2,TRUE)</f>
        <v>44 - 54</v>
      </c>
    </row>
    <row r="412" spans="2:13" x14ac:dyDescent="0.3">
      <c r="B412" s="11">
        <v>49141215224</v>
      </c>
      <c r="C412" t="s">
        <v>133</v>
      </c>
      <c r="D412" t="s">
        <v>6</v>
      </c>
      <c r="E412" t="s">
        <v>7</v>
      </c>
      <c r="F412" t="s">
        <v>427</v>
      </c>
      <c r="G412" t="s">
        <v>424</v>
      </c>
      <c r="H412" s="1">
        <v>20251</v>
      </c>
      <c r="I412" s="1" t="s">
        <v>433</v>
      </c>
      <c r="J412" t="s">
        <v>445</v>
      </c>
      <c r="K412" s="12">
        <v>35.9</v>
      </c>
      <c r="L412" s="14">
        <f ca="1">TRUNC((TODAY()-TabelaBase[[#This Row],[Data Nascimento]])/365)</f>
        <v>70</v>
      </c>
      <c r="M412" s="14" t="str">
        <f ca="1">HLOOKUP(TabelaBase[[#This Row],[Idade]],$O$3:$R$4,2,TRUE)</f>
        <v>54-70</v>
      </c>
    </row>
    <row r="413" spans="2:13" x14ac:dyDescent="0.3">
      <c r="B413" s="11">
        <v>49215142467</v>
      </c>
      <c r="C413" t="s">
        <v>412</v>
      </c>
      <c r="D413" t="s">
        <v>5</v>
      </c>
      <c r="E413" t="s">
        <v>8</v>
      </c>
      <c r="F413" t="s">
        <v>14</v>
      </c>
      <c r="G413" t="s">
        <v>425</v>
      </c>
      <c r="H413" s="1">
        <v>32154</v>
      </c>
      <c r="I413" s="1" t="s">
        <v>433</v>
      </c>
      <c r="J413" t="s">
        <v>444</v>
      </c>
      <c r="K413" s="12">
        <v>29.9</v>
      </c>
      <c r="L413" s="14">
        <f ca="1">TRUNC((TODAY()-TabelaBase[[#This Row],[Data Nascimento]])/365)</f>
        <v>38</v>
      </c>
      <c r="M413" s="14" t="str">
        <f ca="1">HLOOKUP(TabelaBase[[#This Row],[Idade]],$O$3:$R$4,2,TRUE)</f>
        <v>35 - 44</v>
      </c>
    </row>
    <row r="414" spans="2:13" x14ac:dyDescent="0.3">
      <c r="B414" s="11">
        <v>49266952999</v>
      </c>
      <c r="C414" t="s">
        <v>192</v>
      </c>
      <c r="D414" t="s">
        <v>5</v>
      </c>
      <c r="E414" t="s">
        <v>8</v>
      </c>
      <c r="F414" t="s">
        <v>13</v>
      </c>
      <c r="G414" t="s">
        <v>425</v>
      </c>
      <c r="H414" s="1">
        <v>28665</v>
      </c>
      <c r="I414" s="1" t="s">
        <v>433</v>
      </c>
      <c r="J414" t="s">
        <v>445</v>
      </c>
      <c r="K414" s="12">
        <v>35.9</v>
      </c>
      <c r="L414" s="14">
        <f ca="1">TRUNC((TODAY()-TabelaBase[[#This Row],[Data Nascimento]])/365)</f>
        <v>47</v>
      </c>
      <c r="M414" s="14" t="str">
        <f ca="1">HLOOKUP(TabelaBase[[#This Row],[Idade]],$O$3:$R$4,2,TRUE)</f>
        <v>44 - 54</v>
      </c>
    </row>
    <row r="415" spans="2:13" x14ac:dyDescent="0.3">
      <c r="B415" s="11">
        <v>49280389108</v>
      </c>
      <c r="C415" t="s">
        <v>370</v>
      </c>
      <c r="D415" t="s">
        <v>5</v>
      </c>
      <c r="E415" t="s">
        <v>7</v>
      </c>
      <c r="F415" t="s">
        <v>14</v>
      </c>
      <c r="G415" t="s">
        <v>426</v>
      </c>
      <c r="H415" s="1">
        <v>20919</v>
      </c>
      <c r="I415" s="1" t="s">
        <v>433</v>
      </c>
      <c r="J415" t="s">
        <v>444</v>
      </c>
      <c r="K415" s="12">
        <v>29.9</v>
      </c>
      <c r="L415" s="14">
        <f ca="1">TRUNC((TODAY()-TabelaBase[[#This Row],[Data Nascimento]])/365)</f>
        <v>68</v>
      </c>
      <c r="M415" s="14" t="str">
        <f ca="1">HLOOKUP(TabelaBase[[#This Row],[Idade]],$O$3:$R$4,2,TRUE)</f>
        <v>54-70</v>
      </c>
    </row>
    <row r="416" spans="2:13" x14ac:dyDescent="0.3">
      <c r="B416" s="11">
        <v>49281927823</v>
      </c>
      <c r="C416" t="s">
        <v>378</v>
      </c>
      <c r="D416" t="s">
        <v>5</v>
      </c>
      <c r="E416" t="s">
        <v>417</v>
      </c>
      <c r="F416" t="s">
        <v>11</v>
      </c>
      <c r="G416" t="s">
        <v>426</v>
      </c>
      <c r="H416" s="1">
        <v>34329</v>
      </c>
      <c r="I416" s="1" t="s">
        <v>433</v>
      </c>
      <c r="J416" t="s">
        <v>447</v>
      </c>
      <c r="K416" s="12">
        <v>79.900000000000006</v>
      </c>
      <c r="L416" s="14">
        <f ca="1">TRUNC((TODAY()-TabelaBase[[#This Row],[Data Nascimento]])/365)</f>
        <v>32</v>
      </c>
      <c r="M416" s="14" t="str">
        <f ca="1">HLOOKUP(TabelaBase[[#This Row],[Idade]],$O$3:$R$4,2,TRUE)</f>
        <v>24-34</v>
      </c>
    </row>
    <row r="417" spans="2:13" x14ac:dyDescent="0.3">
      <c r="B417" s="11">
        <v>49300310285</v>
      </c>
      <c r="C417" t="s">
        <v>223</v>
      </c>
      <c r="D417" t="s">
        <v>5</v>
      </c>
      <c r="E417" t="s">
        <v>7</v>
      </c>
      <c r="F417" t="s">
        <v>12</v>
      </c>
      <c r="G417" t="s">
        <v>424</v>
      </c>
      <c r="H417" s="1">
        <v>26262</v>
      </c>
      <c r="I417" s="1" t="s">
        <v>433</v>
      </c>
      <c r="J417" t="s">
        <v>447</v>
      </c>
      <c r="K417" s="12">
        <v>79.900000000000006</v>
      </c>
      <c r="L417" s="14">
        <f ca="1">TRUNC((TODAY()-TabelaBase[[#This Row],[Data Nascimento]])/365)</f>
        <v>54</v>
      </c>
      <c r="M417" s="14" t="str">
        <f ca="1">HLOOKUP(TabelaBase[[#This Row],[Idade]],$O$3:$R$4,2,TRUE)</f>
        <v>54-70</v>
      </c>
    </row>
    <row r="418" spans="2:13" x14ac:dyDescent="0.3">
      <c r="B418" s="11">
        <v>49307528124</v>
      </c>
      <c r="C418" t="s">
        <v>331</v>
      </c>
      <c r="D418" t="s">
        <v>5</v>
      </c>
      <c r="E418" t="s">
        <v>416</v>
      </c>
      <c r="F418" t="s">
        <v>12</v>
      </c>
      <c r="G418" t="s">
        <v>424</v>
      </c>
      <c r="H418" s="1">
        <v>31963</v>
      </c>
      <c r="I418" s="1" t="s">
        <v>433</v>
      </c>
      <c r="J418" t="s">
        <v>446</v>
      </c>
      <c r="K418" s="12">
        <v>9.9</v>
      </c>
      <c r="L418" s="14">
        <f ca="1">TRUNC((TODAY()-TabelaBase[[#This Row],[Data Nascimento]])/365)</f>
        <v>38</v>
      </c>
      <c r="M418" s="14" t="str">
        <f ca="1">HLOOKUP(TabelaBase[[#This Row],[Idade]],$O$3:$R$4,2,TRUE)</f>
        <v>35 - 44</v>
      </c>
    </row>
    <row r="419" spans="2:13" x14ac:dyDescent="0.3">
      <c r="B419" s="11">
        <v>49328439074</v>
      </c>
      <c r="C419" t="s">
        <v>371</v>
      </c>
      <c r="D419" t="s">
        <v>6</v>
      </c>
      <c r="E419" t="s">
        <v>416</v>
      </c>
      <c r="F419" t="s">
        <v>13</v>
      </c>
      <c r="G419" t="s">
        <v>424</v>
      </c>
      <c r="H419" s="1">
        <v>30361</v>
      </c>
      <c r="I419" s="1" t="s">
        <v>433</v>
      </c>
      <c r="J419" t="s">
        <v>444</v>
      </c>
      <c r="K419" s="12">
        <v>29.9</v>
      </c>
      <c r="L419" s="14">
        <f ca="1">TRUNC((TODAY()-TabelaBase[[#This Row],[Data Nascimento]])/365)</f>
        <v>42</v>
      </c>
      <c r="M419" s="14" t="str">
        <f ca="1">HLOOKUP(TabelaBase[[#This Row],[Idade]],$O$3:$R$4,2,TRUE)</f>
        <v>35 - 44</v>
      </c>
    </row>
    <row r="420" spans="2:13" x14ac:dyDescent="0.3">
      <c r="B420" s="11">
        <v>49391829352</v>
      </c>
      <c r="C420" t="s">
        <v>96</v>
      </c>
      <c r="D420" t="s">
        <v>6</v>
      </c>
      <c r="E420" t="s">
        <v>7</v>
      </c>
      <c r="F420" t="s">
        <v>13</v>
      </c>
      <c r="G420" t="s">
        <v>426</v>
      </c>
      <c r="H420" s="1">
        <v>30122</v>
      </c>
      <c r="I420" s="1" t="s">
        <v>429</v>
      </c>
      <c r="J420" t="s">
        <v>445</v>
      </c>
      <c r="K420" s="12">
        <v>35.9</v>
      </c>
      <c r="L420" s="14">
        <f ca="1">TRUNC((TODAY()-TabelaBase[[#This Row],[Data Nascimento]])/365)</f>
        <v>43</v>
      </c>
      <c r="M420" s="14" t="str">
        <f ca="1">HLOOKUP(TabelaBase[[#This Row],[Idade]],$O$3:$R$4,2,TRUE)</f>
        <v>35 - 44</v>
      </c>
    </row>
    <row r="421" spans="2:13" x14ac:dyDescent="0.3">
      <c r="B421" s="11">
        <v>49395647705</v>
      </c>
      <c r="C421" t="s">
        <v>218</v>
      </c>
      <c r="D421" t="s">
        <v>6</v>
      </c>
      <c r="E421" t="s">
        <v>417</v>
      </c>
      <c r="F421" t="s">
        <v>13</v>
      </c>
      <c r="G421" t="s">
        <v>426</v>
      </c>
      <c r="H421" s="1">
        <v>32945</v>
      </c>
      <c r="I421" s="1" t="s">
        <v>432</v>
      </c>
      <c r="J421" t="s">
        <v>447</v>
      </c>
      <c r="K421" s="12">
        <v>79.900000000000006</v>
      </c>
      <c r="L421" s="14">
        <f ca="1">TRUNC((TODAY()-TabelaBase[[#This Row],[Data Nascimento]])/365)</f>
        <v>35</v>
      </c>
      <c r="M421" s="14" t="str">
        <f ca="1">HLOOKUP(TabelaBase[[#This Row],[Idade]],$O$3:$R$4,2,TRUE)</f>
        <v>35 - 44</v>
      </c>
    </row>
    <row r="422" spans="2:13" x14ac:dyDescent="0.3">
      <c r="B422" s="11">
        <v>49477339063</v>
      </c>
      <c r="C422" t="s">
        <v>248</v>
      </c>
      <c r="D422" t="s">
        <v>6</v>
      </c>
      <c r="E422" t="s">
        <v>416</v>
      </c>
      <c r="F422" t="s">
        <v>13</v>
      </c>
      <c r="G422" t="s">
        <v>425</v>
      </c>
      <c r="H422" s="1">
        <v>24032</v>
      </c>
      <c r="I422" s="1" t="s">
        <v>436</v>
      </c>
      <c r="J422" t="s">
        <v>444</v>
      </c>
      <c r="K422" s="12">
        <v>29.9</v>
      </c>
      <c r="L422" s="14">
        <f ca="1">TRUNC((TODAY()-TabelaBase[[#This Row],[Data Nascimento]])/365)</f>
        <v>60</v>
      </c>
      <c r="M422" s="14" t="str">
        <f ca="1">HLOOKUP(TabelaBase[[#This Row],[Idade]],$O$3:$R$4,2,TRUE)</f>
        <v>54-70</v>
      </c>
    </row>
    <row r="423" spans="2:13" x14ac:dyDescent="0.3">
      <c r="B423" s="11">
        <v>49479547341</v>
      </c>
      <c r="C423" t="s">
        <v>186</v>
      </c>
      <c r="D423" t="s">
        <v>5</v>
      </c>
      <c r="E423" t="s">
        <v>417</v>
      </c>
      <c r="F423" t="s">
        <v>11</v>
      </c>
      <c r="G423" t="s">
        <v>426</v>
      </c>
      <c r="H423" s="1">
        <v>23262</v>
      </c>
      <c r="I423" s="1" t="s">
        <v>436</v>
      </c>
      <c r="J423" t="s">
        <v>447</v>
      </c>
      <c r="K423" s="12">
        <v>79.900000000000006</v>
      </c>
      <c r="L423" s="14">
        <f ca="1">TRUNC((TODAY()-TabelaBase[[#This Row],[Data Nascimento]])/365)</f>
        <v>62</v>
      </c>
      <c r="M423" s="14" t="str">
        <f ca="1">HLOOKUP(TabelaBase[[#This Row],[Idade]],$O$3:$R$4,2,TRUE)</f>
        <v>54-70</v>
      </c>
    </row>
    <row r="424" spans="2:13" x14ac:dyDescent="0.3">
      <c r="B424" s="11">
        <v>49514272789</v>
      </c>
      <c r="C424" t="s">
        <v>315</v>
      </c>
      <c r="D424" t="s">
        <v>5</v>
      </c>
      <c r="E424" t="s">
        <v>417</v>
      </c>
      <c r="F424" t="s">
        <v>9</v>
      </c>
      <c r="G424" t="s">
        <v>425</v>
      </c>
      <c r="H424" s="1">
        <v>27626</v>
      </c>
      <c r="I424" s="1" t="s">
        <v>436</v>
      </c>
      <c r="J424" t="s">
        <v>446</v>
      </c>
      <c r="K424" s="12">
        <v>9.9</v>
      </c>
      <c r="L424" s="14">
        <f ca="1">TRUNC((TODAY()-TabelaBase[[#This Row],[Data Nascimento]])/365)</f>
        <v>50</v>
      </c>
      <c r="M424" s="14" t="str">
        <f ca="1">HLOOKUP(TabelaBase[[#This Row],[Idade]],$O$3:$R$4,2,TRUE)</f>
        <v>44 - 54</v>
      </c>
    </row>
    <row r="425" spans="2:13" x14ac:dyDescent="0.3">
      <c r="B425" s="11">
        <v>49561602728</v>
      </c>
      <c r="C425" t="s">
        <v>164</v>
      </c>
      <c r="D425" t="s">
        <v>5</v>
      </c>
      <c r="E425" t="s">
        <v>418</v>
      </c>
      <c r="F425" t="s">
        <v>13</v>
      </c>
      <c r="G425" t="s">
        <v>425</v>
      </c>
      <c r="H425" s="1">
        <v>23760</v>
      </c>
      <c r="I425" s="1" t="s">
        <v>436</v>
      </c>
      <c r="J425" t="s">
        <v>446</v>
      </c>
      <c r="K425" s="12">
        <v>9.9</v>
      </c>
      <c r="L425" s="14">
        <f ca="1">TRUNC((TODAY()-TabelaBase[[#This Row],[Data Nascimento]])/365)</f>
        <v>61</v>
      </c>
      <c r="M425" s="14" t="str">
        <f ca="1">HLOOKUP(TabelaBase[[#This Row],[Idade]],$O$3:$R$4,2,TRUE)</f>
        <v>54-70</v>
      </c>
    </row>
    <row r="426" spans="2:13" x14ac:dyDescent="0.3">
      <c r="B426" s="11">
        <v>49609420133</v>
      </c>
      <c r="C426" t="s">
        <v>367</v>
      </c>
      <c r="D426" t="s">
        <v>6</v>
      </c>
      <c r="E426" t="s">
        <v>7</v>
      </c>
      <c r="F426" t="s">
        <v>12</v>
      </c>
      <c r="G426" t="s">
        <v>425</v>
      </c>
      <c r="H426" s="1">
        <v>22766</v>
      </c>
      <c r="I426" s="1" t="s">
        <v>436</v>
      </c>
      <c r="J426" t="s">
        <v>447</v>
      </c>
      <c r="K426" s="12">
        <v>79.900000000000006</v>
      </c>
      <c r="L426" s="14">
        <f ca="1">TRUNC((TODAY()-TabelaBase[[#This Row],[Data Nascimento]])/365)</f>
        <v>63</v>
      </c>
      <c r="M426" s="14" t="str">
        <f ca="1">HLOOKUP(TabelaBase[[#This Row],[Idade]],$O$3:$R$4,2,TRUE)</f>
        <v>54-70</v>
      </c>
    </row>
    <row r="427" spans="2:13" x14ac:dyDescent="0.3">
      <c r="B427" s="11">
        <v>49615735146</v>
      </c>
      <c r="C427" t="s">
        <v>334</v>
      </c>
      <c r="D427" t="s">
        <v>6</v>
      </c>
      <c r="E427" t="s">
        <v>417</v>
      </c>
      <c r="F427" t="s">
        <v>427</v>
      </c>
      <c r="G427" t="s">
        <v>425</v>
      </c>
      <c r="H427" s="1">
        <v>32468</v>
      </c>
      <c r="I427" s="1" t="s">
        <v>436</v>
      </c>
      <c r="J427" t="s">
        <v>444</v>
      </c>
      <c r="K427" s="12">
        <v>29.9</v>
      </c>
      <c r="L427" s="14">
        <f ca="1">TRUNC((TODAY()-TabelaBase[[#This Row],[Data Nascimento]])/365)</f>
        <v>37</v>
      </c>
      <c r="M427" s="14" t="str">
        <f ca="1">HLOOKUP(TabelaBase[[#This Row],[Idade]],$O$3:$R$4,2,TRUE)</f>
        <v>35 - 44</v>
      </c>
    </row>
    <row r="428" spans="2:13" x14ac:dyDescent="0.3">
      <c r="B428" s="11">
        <v>49708771068</v>
      </c>
      <c r="C428" t="s">
        <v>156</v>
      </c>
      <c r="D428" t="s">
        <v>6</v>
      </c>
      <c r="E428" t="s">
        <v>7</v>
      </c>
      <c r="F428" t="s">
        <v>13</v>
      </c>
      <c r="G428" t="s">
        <v>426</v>
      </c>
      <c r="H428" s="1">
        <v>29978</v>
      </c>
      <c r="I428" s="1" t="s">
        <v>435</v>
      </c>
      <c r="J428" t="s">
        <v>446</v>
      </c>
      <c r="K428" s="12">
        <v>9.9</v>
      </c>
      <c r="L428" s="14">
        <f ca="1">TRUNC((TODAY()-TabelaBase[[#This Row],[Data Nascimento]])/365)</f>
        <v>43</v>
      </c>
      <c r="M428" s="14" t="str">
        <f ca="1">HLOOKUP(TabelaBase[[#This Row],[Idade]],$O$3:$R$4,2,TRUE)</f>
        <v>35 - 44</v>
      </c>
    </row>
    <row r="429" spans="2:13" x14ac:dyDescent="0.3">
      <c r="B429" s="11">
        <v>49733529074</v>
      </c>
      <c r="C429" t="s">
        <v>55</v>
      </c>
      <c r="D429" t="s">
        <v>6</v>
      </c>
      <c r="E429" t="s">
        <v>417</v>
      </c>
      <c r="F429" t="s">
        <v>12</v>
      </c>
      <c r="G429" t="s">
        <v>425</v>
      </c>
      <c r="H429" s="1">
        <v>29578</v>
      </c>
      <c r="I429" s="1" t="s">
        <v>433</v>
      </c>
      <c r="J429" t="s">
        <v>447</v>
      </c>
      <c r="K429" s="12">
        <v>79.900000000000006</v>
      </c>
      <c r="L429" s="14">
        <f ca="1">TRUNC((TODAY()-TabelaBase[[#This Row],[Data Nascimento]])/365)</f>
        <v>45</v>
      </c>
      <c r="M429" s="14" t="str">
        <f ca="1">HLOOKUP(TabelaBase[[#This Row],[Idade]],$O$3:$R$4,2,TRUE)</f>
        <v>44 - 54</v>
      </c>
    </row>
    <row r="430" spans="2:13" x14ac:dyDescent="0.3">
      <c r="B430" s="11">
        <v>49822462008</v>
      </c>
      <c r="C430" t="s">
        <v>369</v>
      </c>
      <c r="D430" t="s">
        <v>6</v>
      </c>
      <c r="E430" t="s">
        <v>8</v>
      </c>
      <c r="F430" t="s">
        <v>427</v>
      </c>
      <c r="G430" t="s">
        <v>424</v>
      </c>
      <c r="H430" s="1">
        <v>22511</v>
      </c>
      <c r="I430" s="1" t="s">
        <v>433</v>
      </c>
      <c r="J430" t="s">
        <v>446</v>
      </c>
      <c r="K430" s="12">
        <v>9.9</v>
      </c>
      <c r="L430" s="14">
        <f ca="1">TRUNC((TODAY()-TabelaBase[[#This Row],[Data Nascimento]])/365)</f>
        <v>64</v>
      </c>
      <c r="M430" s="14" t="str">
        <f ca="1">HLOOKUP(TabelaBase[[#This Row],[Idade]],$O$3:$R$4,2,TRUE)</f>
        <v>54-70</v>
      </c>
    </row>
    <row r="431" spans="2:13" x14ac:dyDescent="0.3">
      <c r="B431" s="11">
        <v>49859929846</v>
      </c>
      <c r="C431" t="s">
        <v>381</v>
      </c>
      <c r="D431" t="s">
        <v>6</v>
      </c>
      <c r="E431" t="s">
        <v>417</v>
      </c>
      <c r="F431" t="s">
        <v>427</v>
      </c>
      <c r="G431" t="s">
        <v>425</v>
      </c>
      <c r="H431" s="1">
        <v>33468</v>
      </c>
      <c r="I431" s="1" t="s">
        <v>433</v>
      </c>
      <c r="J431" t="s">
        <v>446</v>
      </c>
      <c r="K431" s="12">
        <v>9.9</v>
      </c>
      <c r="L431" s="14">
        <f ca="1">TRUNC((TODAY()-TabelaBase[[#This Row],[Data Nascimento]])/365)</f>
        <v>34</v>
      </c>
      <c r="M431" s="14" t="str">
        <f ca="1">HLOOKUP(TabelaBase[[#This Row],[Idade]],$O$3:$R$4,2,TRUE)</f>
        <v>24-34</v>
      </c>
    </row>
    <row r="432" spans="2:13" x14ac:dyDescent="0.3">
      <c r="B432" s="11">
        <v>49948498268</v>
      </c>
      <c r="C432" t="s">
        <v>148</v>
      </c>
      <c r="D432" t="s">
        <v>6</v>
      </c>
      <c r="E432" t="s">
        <v>416</v>
      </c>
      <c r="F432" t="s">
        <v>14</v>
      </c>
      <c r="G432" t="s">
        <v>425</v>
      </c>
      <c r="H432" s="1">
        <v>23554</v>
      </c>
      <c r="I432" s="1" t="s">
        <v>433</v>
      </c>
      <c r="J432" t="s">
        <v>444</v>
      </c>
      <c r="K432" s="12">
        <v>29.9</v>
      </c>
      <c r="L432" s="14">
        <f ca="1">TRUNC((TODAY()-TabelaBase[[#This Row],[Data Nascimento]])/365)</f>
        <v>61</v>
      </c>
      <c r="M432" s="14" t="str">
        <f ca="1">HLOOKUP(TabelaBase[[#This Row],[Idade]],$O$3:$R$4,2,TRUE)</f>
        <v>54-70</v>
      </c>
    </row>
    <row r="433" spans="2:13" x14ac:dyDescent="0.3">
      <c r="B433" s="11">
        <v>49996091120</v>
      </c>
      <c r="C433" t="s">
        <v>340</v>
      </c>
      <c r="D433" t="s">
        <v>6</v>
      </c>
      <c r="E433" t="s">
        <v>7</v>
      </c>
      <c r="F433" t="s">
        <v>14</v>
      </c>
      <c r="G433" t="s">
        <v>425</v>
      </c>
      <c r="H433" s="1">
        <v>20435</v>
      </c>
      <c r="I433" s="1" t="s">
        <v>433</v>
      </c>
      <c r="J433" t="s">
        <v>444</v>
      </c>
      <c r="K433" s="12">
        <v>29.9</v>
      </c>
      <c r="L433" s="14">
        <f ca="1">TRUNC((TODAY()-TabelaBase[[#This Row],[Data Nascimento]])/365)</f>
        <v>70</v>
      </c>
      <c r="M433" s="14" t="str">
        <f ca="1">HLOOKUP(TabelaBase[[#This Row],[Idade]],$O$3:$R$4,2,TRUE)</f>
        <v>54-70</v>
      </c>
    </row>
    <row r="434" spans="2:13" x14ac:dyDescent="0.3">
      <c r="B434" s="11">
        <v>50008008920</v>
      </c>
      <c r="C434" t="s">
        <v>354</v>
      </c>
      <c r="D434" t="s">
        <v>6</v>
      </c>
      <c r="E434" t="s">
        <v>417</v>
      </c>
      <c r="F434" t="s">
        <v>11</v>
      </c>
      <c r="G434" t="s">
        <v>425</v>
      </c>
      <c r="H434" s="1">
        <v>22355</v>
      </c>
      <c r="I434" s="1" t="s">
        <v>430</v>
      </c>
      <c r="J434" t="s">
        <v>447</v>
      </c>
      <c r="K434" s="12">
        <v>79.900000000000006</v>
      </c>
      <c r="L434" s="14">
        <f ca="1">TRUNC((TODAY()-TabelaBase[[#This Row],[Data Nascimento]])/365)</f>
        <v>64</v>
      </c>
      <c r="M434" s="14" t="str">
        <f ca="1">HLOOKUP(TabelaBase[[#This Row],[Idade]],$O$3:$R$4,2,TRUE)</f>
        <v>54-70</v>
      </c>
    </row>
    <row r="435" spans="2:13" x14ac:dyDescent="0.3">
      <c r="B435" s="11">
        <v>50013996249</v>
      </c>
      <c r="C435" t="s">
        <v>194</v>
      </c>
      <c r="D435" t="s">
        <v>5</v>
      </c>
      <c r="E435" t="s">
        <v>417</v>
      </c>
      <c r="F435" t="s">
        <v>13</v>
      </c>
      <c r="G435" t="s">
        <v>425</v>
      </c>
      <c r="H435" s="1">
        <v>24872</v>
      </c>
      <c r="I435" s="1" t="s">
        <v>429</v>
      </c>
      <c r="J435" t="s">
        <v>447</v>
      </c>
      <c r="K435" s="12">
        <v>79.900000000000006</v>
      </c>
      <c r="L435" s="14">
        <f ca="1">TRUNC((TODAY()-TabelaBase[[#This Row],[Data Nascimento]])/365)</f>
        <v>57</v>
      </c>
      <c r="M435" s="14" t="str">
        <f ca="1">HLOOKUP(TabelaBase[[#This Row],[Idade]],$O$3:$R$4,2,TRUE)</f>
        <v>54-70</v>
      </c>
    </row>
    <row r="436" spans="2:13" x14ac:dyDescent="0.3">
      <c r="B436" s="11">
        <v>50105898295</v>
      </c>
      <c r="C436" t="s">
        <v>139</v>
      </c>
      <c r="D436" t="s">
        <v>6</v>
      </c>
      <c r="E436" t="s">
        <v>8</v>
      </c>
      <c r="F436" t="s">
        <v>12</v>
      </c>
      <c r="G436" t="s">
        <v>426</v>
      </c>
      <c r="H436" s="1">
        <v>20937</v>
      </c>
      <c r="I436" s="1" t="s">
        <v>431</v>
      </c>
      <c r="J436" t="s">
        <v>446</v>
      </c>
      <c r="K436" s="12">
        <v>9.9</v>
      </c>
      <c r="L436" s="14">
        <f ca="1">TRUNC((TODAY()-TabelaBase[[#This Row],[Data Nascimento]])/365)</f>
        <v>68</v>
      </c>
      <c r="M436" s="14" t="str">
        <f ca="1">HLOOKUP(TabelaBase[[#This Row],[Idade]],$O$3:$R$4,2,TRUE)</f>
        <v>54-70</v>
      </c>
    </row>
    <row r="437" spans="2:13" x14ac:dyDescent="0.3">
      <c r="B437" s="11">
        <v>50108835505</v>
      </c>
      <c r="C437" t="s">
        <v>131</v>
      </c>
      <c r="D437" t="s">
        <v>6</v>
      </c>
      <c r="E437" t="s">
        <v>416</v>
      </c>
      <c r="F437" t="s">
        <v>13</v>
      </c>
      <c r="G437" t="s">
        <v>424</v>
      </c>
      <c r="H437" s="1">
        <v>21463</v>
      </c>
      <c r="I437" s="1" t="s">
        <v>432</v>
      </c>
      <c r="J437" t="s">
        <v>444</v>
      </c>
      <c r="K437" s="12">
        <v>29.9</v>
      </c>
      <c r="L437" s="14">
        <f ca="1">TRUNC((TODAY()-TabelaBase[[#This Row],[Data Nascimento]])/365)</f>
        <v>67</v>
      </c>
      <c r="M437" s="14" t="str">
        <f ca="1">HLOOKUP(TabelaBase[[#This Row],[Idade]],$O$3:$R$4,2,TRUE)</f>
        <v>54-70</v>
      </c>
    </row>
    <row r="438" spans="2:13" x14ac:dyDescent="0.3">
      <c r="B438" s="11">
        <v>50125202242</v>
      </c>
      <c r="C438" t="s">
        <v>98</v>
      </c>
      <c r="D438" t="s">
        <v>6</v>
      </c>
      <c r="E438" t="s">
        <v>417</v>
      </c>
      <c r="F438" t="s">
        <v>13</v>
      </c>
      <c r="G438" t="s">
        <v>426</v>
      </c>
      <c r="H438" s="1">
        <v>30336</v>
      </c>
      <c r="I438" s="1" t="s">
        <v>434</v>
      </c>
      <c r="J438" t="s">
        <v>447</v>
      </c>
      <c r="K438" s="12">
        <v>79.900000000000006</v>
      </c>
      <c r="L438" s="14">
        <f ca="1">TRUNC((TODAY()-TabelaBase[[#This Row],[Data Nascimento]])/365)</f>
        <v>43</v>
      </c>
      <c r="M438" s="14" t="str">
        <f ca="1">HLOOKUP(TabelaBase[[#This Row],[Idade]],$O$3:$R$4,2,TRUE)</f>
        <v>35 - 44</v>
      </c>
    </row>
    <row r="439" spans="2:13" x14ac:dyDescent="0.3">
      <c r="B439" s="11">
        <v>50213585733</v>
      </c>
      <c r="C439" t="s">
        <v>405</v>
      </c>
      <c r="D439" t="s">
        <v>6</v>
      </c>
      <c r="E439" t="s">
        <v>7</v>
      </c>
      <c r="F439" t="s">
        <v>427</v>
      </c>
      <c r="G439" t="s">
        <v>425</v>
      </c>
      <c r="H439" s="1">
        <v>22538</v>
      </c>
      <c r="I439" s="1" t="s">
        <v>430</v>
      </c>
      <c r="J439" t="s">
        <v>446</v>
      </c>
      <c r="K439" s="12">
        <v>9.9</v>
      </c>
      <c r="L439" s="14">
        <f ca="1">TRUNC((TODAY()-TabelaBase[[#This Row],[Data Nascimento]])/365)</f>
        <v>64</v>
      </c>
      <c r="M439" s="14" t="str">
        <f ca="1">HLOOKUP(TabelaBase[[#This Row],[Idade]],$O$3:$R$4,2,TRUE)</f>
        <v>54-70</v>
      </c>
    </row>
    <row r="440" spans="2:13" x14ac:dyDescent="0.3">
      <c r="B440" s="11">
        <v>50296433971</v>
      </c>
      <c r="C440" t="s">
        <v>100</v>
      </c>
      <c r="D440" t="s">
        <v>6</v>
      </c>
      <c r="E440" t="s">
        <v>416</v>
      </c>
      <c r="F440" t="s">
        <v>14</v>
      </c>
      <c r="G440" t="s">
        <v>425</v>
      </c>
      <c r="H440" s="1">
        <v>30857</v>
      </c>
      <c r="I440" s="1" t="s">
        <v>435</v>
      </c>
      <c r="J440" t="s">
        <v>444</v>
      </c>
      <c r="K440" s="12">
        <v>29.9</v>
      </c>
      <c r="L440" s="14">
        <f ca="1">TRUNC((TODAY()-TabelaBase[[#This Row],[Data Nascimento]])/365)</f>
        <v>41</v>
      </c>
      <c r="M440" s="14" t="str">
        <f ca="1">HLOOKUP(TabelaBase[[#This Row],[Idade]],$O$3:$R$4,2,TRUE)</f>
        <v>35 - 44</v>
      </c>
    </row>
    <row r="441" spans="2:13" x14ac:dyDescent="0.3">
      <c r="B441" s="11">
        <v>50331166214</v>
      </c>
      <c r="C441" t="s">
        <v>314</v>
      </c>
      <c r="D441" t="s">
        <v>6</v>
      </c>
      <c r="E441" t="s">
        <v>417</v>
      </c>
      <c r="F441" t="s">
        <v>13</v>
      </c>
      <c r="G441" t="s">
        <v>425</v>
      </c>
      <c r="H441" s="1">
        <v>28253</v>
      </c>
      <c r="I441" s="1" t="s">
        <v>436</v>
      </c>
      <c r="J441" t="s">
        <v>447</v>
      </c>
      <c r="K441" s="12">
        <v>79.900000000000006</v>
      </c>
      <c r="L441" s="14">
        <f ca="1">TRUNC((TODAY()-TabelaBase[[#This Row],[Data Nascimento]])/365)</f>
        <v>48</v>
      </c>
      <c r="M441" s="14" t="str">
        <f ca="1">HLOOKUP(TabelaBase[[#This Row],[Idade]],$O$3:$R$4,2,TRUE)</f>
        <v>44 - 54</v>
      </c>
    </row>
    <row r="442" spans="2:13" x14ac:dyDescent="0.3">
      <c r="B442" s="11">
        <v>50356441737</v>
      </c>
      <c r="C442" t="s">
        <v>26</v>
      </c>
      <c r="D442" t="s">
        <v>5</v>
      </c>
      <c r="E442" t="s">
        <v>417</v>
      </c>
      <c r="F442" t="s">
        <v>13</v>
      </c>
      <c r="G442" t="s">
        <v>426</v>
      </c>
      <c r="H442" s="1">
        <v>36510</v>
      </c>
      <c r="I442" s="1" t="s">
        <v>430</v>
      </c>
      <c r="J442" t="s">
        <v>447</v>
      </c>
      <c r="K442" s="12">
        <v>79.900000000000006</v>
      </c>
      <c r="L442" s="14">
        <f ca="1">TRUNC((TODAY()-TabelaBase[[#This Row],[Data Nascimento]])/365)</f>
        <v>26</v>
      </c>
      <c r="M442" s="14" t="str">
        <f ca="1">HLOOKUP(TabelaBase[[#This Row],[Idade]],$O$3:$R$4,2,TRUE)</f>
        <v>24-34</v>
      </c>
    </row>
    <row r="443" spans="2:13" x14ac:dyDescent="0.3">
      <c r="B443" s="11">
        <v>50376304529</v>
      </c>
      <c r="C443" t="s">
        <v>38</v>
      </c>
      <c r="D443" t="s">
        <v>5</v>
      </c>
      <c r="E443" t="s">
        <v>417</v>
      </c>
      <c r="F443" t="s">
        <v>13</v>
      </c>
      <c r="G443" t="s">
        <v>426</v>
      </c>
      <c r="H443" s="1">
        <v>20158</v>
      </c>
      <c r="I443" s="1" t="s">
        <v>435</v>
      </c>
      <c r="J443" t="s">
        <v>446</v>
      </c>
      <c r="K443" s="12">
        <v>9.9</v>
      </c>
      <c r="L443" s="14">
        <f ca="1">TRUNC((TODAY()-TabelaBase[[#This Row],[Data Nascimento]])/365)</f>
        <v>70</v>
      </c>
      <c r="M443" s="14" t="str">
        <f ca="1">HLOOKUP(TabelaBase[[#This Row],[Idade]],$O$3:$R$4,2,TRUE)</f>
        <v>54-70</v>
      </c>
    </row>
    <row r="444" spans="2:13" x14ac:dyDescent="0.3">
      <c r="B444" s="11">
        <v>50443594586</v>
      </c>
      <c r="C444" t="s">
        <v>411</v>
      </c>
      <c r="D444" t="s">
        <v>6</v>
      </c>
      <c r="E444" t="s">
        <v>416</v>
      </c>
      <c r="F444" t="s">
        <v>9</v>
      </c>
      <c r="G444" t="s">
        <v>424</v>
      </c>
      <c r="H444" s="1">
        <v>30302</v>
      </c>
      <c r="I444" s="1" t="s">
        <v>436</v>
      </c>
      <c r="J444" t="s">
        <v>446</v>
      </c>
      <c r="K444" s="12">
        <v>9.9</v>
      </c>
      <c r="L444" s="14">
        <f ca="1">TRUNC((TODAY()-TabelaBase[[#This Row],[Data Nascimento]])/365)</f>
        <v>43</v>
      </c>
      <c r="M444" s="14" t="str">
        <f ca="1">HLOOKUP(TabelaBase[[#This Row],[Idade]],$O$3:$R$4,2,TRUE)</f>
        <v>35 - 44</v>
      </c>
    </row>
    <row r="445" spans="2:13" x14ac:dyDescent="0.3">
      <c r="B445" s="11">
        <v>50628172347</v>
      </c>
      <c r="C445" t="s">
        <v>415</v>
      </c>
      <c r="D445" t="s">
        <v>6</v>
      </c>
      <c r="E445" t="s">
        <v>417</v>
      </c>
      <c r="F445" t="s">
        <v>12</v>
      </c>
      <c r="G445" t="s">
        <v>425</v>
      </c>
      <c r="H445" s="1">
        <v>31899</v>
      </c>
      <c r="I445" s="1" t="s">
        <v>433</v>
      </c>
      <c r="J445" t="s">
        <v>447</v>
      </c>
      <c r="K445" s="12">
        <v>79.900000000000006</v>
      </c>
      <c r="L445" s="14">
        <f ca="1">TRUNC((TODAY()-TabelaBase[[#This Row],[Data Nascimento]])/365)</f>
        <v>38</v>
      </c>
      <c r="M445" s="14" t="str">
        <f ca="1">HLOOKUP(TabelaBase[[#This Row],[Idade]],$O$3:$R$4,2,TRUE)</f>
        <v>35 - 44</v>
      </c>
    </row>
    <row r="446" spans="2:13" x14ac:dyDescent="0.3">
      <c r="B446" s="11">
        <v>50667919920</v>
      </c>
      <c r="C446" t="s">
        <v>286</v>
      </c>
      <c r="D446" t="s">
        <v>6</v>
      </c>
      <c r="E446" t="s">
        <v>417</v>
      </c>
      <c r="F446" t="s">
        <v>427</v>
      </c>
      <c r="G446" t="s">
        <v>426</v>
      </c>
      <c r="H446" s="1">
        <v>29743</v>
      </c>
      <c r="I446" s="1" t="s">
        <v>433</v>
      </c>
      <c r="J446" t="s">
        <v>444</v>
      </c>
      <c r="K446" s="12">
        <v>29.9</v>
      </c>
      <c r="L446" s="14">
        <f ca="1">TRUNC((TODAY()-TabelaBase[[#This Row],[Data Nascimento]])/365)</f>
        <v>44</v>
      </c>
      <c r="M446" s="14" t="str">
        <f ca="1">HLOOKUP(TabelaBase[[#This Row],[Idade]],$O$3:$R$4,2,TRUE)</f>
        <v>44 - 54</v>
      </c>
    </row>
    <row r="447" spans="2:13" x14ac:dyDescent="0.3">
      <c r="B447" s="11">
        <v>50699518176</v>
      </c>
      <c r="C447" t="s">
        <v>318</v>
      </c>
      <c r="D447" t="s">
        <v>6</v>
      </c>
      <c r="E447" t="s">
        <v>417</v>
      </c>
      <c r="F447" t="s">
        <v>11</v>
      </c>
      <c r="G447" t="s">
        <v>426</v>
      </c>
      <c r="H447" s="1">
        <v>32608</v>
      </c>
      <c r="I447" s="1" t="s">
        <v>433</v>
      </c>
      <c r="J447" t="s">
        <v>447</v>
      </c>
      <c r="K447" s="12">
        <v>79.900000000000006</v>
      </c>
      <c r="L447" s="14">
        <f ca="1">TRUNC((TODAY()-TabelaBase[[#This Row],[Data Nascimento]])/365)</f>
        <v>36</v>
      </c>
      <c r="M447" s="14" t="str">
        <f ca="1">HLOOKUP(TabelaBase[[#This Row],[Idade]],$O$3:$R$4,2,TRUE)</f>
        <v>35 - 44</v>
      </c>
    </row>
    <row r="448" spans="2:13" x14ac:dyDescent="0.3">
      <c r="B448" s="11">
        <v>50820733116</v>
      </c>
      <c r="C448" t="s">
        <v>250</v>
      </c>
      <c r="D448" t="s">
        <v>6</v>
      </c>
      <c r="E448" t="s">
        <v>7</v>
      </c>
      <c r="F448" t="s">
        <v>14</v>
      </c>
      <c r="G448" t="s">
        <v>426</v>
      </c>
      <c r="H448" s="1">
        <v>20810</v>
      </c>
      <c r="I448" s="1" t="s">
        <v>433</v>
      </c>
      <c r="J448" t="s">
        <v>444</v>
      </c>
      <c r="K448" s="12">
        <v>29.9</v>
      </c>
      <c r="L448" s="14">
        <f ca="1">TRUNC((TODAY()-TabelaBase[[#This Row],[Data Nascimento]])/365)</f>
        <v>69</v>
      </c>
      <c r="M448" s="14" t="str">
        <f ca="1">HLOOKUP(TabelaBase[[#This Row],[Idade]],$O$3:$R$4,2,TRUE)</f>
        <v>54-70</v>
      </c>
    </row>
    <row r="449" spans="2:13" x14ac:dyDescent="0.3">
      <c r="B449" s="11">
        <v>50850484107</v>
      </c>
      <c r="C449" t="s">
        <v>406</v>
      </c>
      <c r="D449" t="s">
        <v>5</v>
      </c>
      <c r="E449" t="s">
        <v>417</v>
      </c>
      <c r="F449" t="s">
        <v>427</v>
      </c>
      <c r="G449" t="s">
        <v>426</v>
      </c>
      <c r="H449" s="1">
        <v>32487</v>
      </c>
      <c r="I449" s="1" t="s">
        <v>433</v>
      </c>
      <c r="J449" t="s">
        <v>444</v>
      </c>
      <c r="K449" s="12">
        <v>29.9</v>
      </c>
      <c r="L449" s="14">
        <f ca="1">TRUNC((TODAY()-TabelaBase[[#This Row],[Data Nascimento]])/365)</f>
        <v>37</v>
      </c>
      <c r="M449" s="14" t="str">
        <f ca="1">HLOOKUP(TabelaBase[[#This Row],[Idade]],$O$3:$R$4,2,TRUE)</f>
        <v>35 - 44</v>
      </c>
    </row>
    <row r="450" spans="2:13" x14ac:dyDescent="0.3">
      <c r="B450" s="11">
        <v>51147741385</v>
      </c>
      <c r="C450" t="s">
        <v>166</v>
      </c>
      <c r="D450" t="s">
        <v>5</v>
      </c>
      <c r="E450" t="s">
        <v>417</v>
      </c>
      <c r="F450" t="s">
        <v>427</v>
      </c>
      <c r="G450" t="s">
        <v>426</v>
      </c>
      <c r="H450" s="1">
        <v>31420</v>
      </c>
      <c r="I450" s="1" t="s">
        <v>433</v>
      </c>
      <c r="J450" t="s">
        <v>444</v>
      </c>
      <c r="K450" s="12">
        <v>29.9</v>
      </c>
      <c r="L450" s="14">
        <f ca="1">TRUNC((TODAY()-TabelaBase[[#This Row],[Data Nascimento]])/365)</f>
        <v>40</v>
      </c>
      <c r="M450" s="14" t="str">
        <f ca="1">HLOOKUP(TabelaBase[[#This Row],[Idade]],$O$3:$R$4,2,TRUE)</f>
        <v>35 - 44</v>
      </c>
    </row>
    <row r="451" spans="2:13" x14ac:dyDescent="0.3">
      <c r="B451" s="11">
        <v>51192158500</v>
      </c>
      <c r="C451" t="s">
        <v>330</v>
      </c>
      <c r="D451" t="s">
        <v>6</v>
      </c>
      <c r="E451" t="s">
        <v>7</v>
      </c>
      <c r="F451" t="s">
        <v>11</v>
      </c>
      <c r="G451" t="s">
        <v>426</v>
      </c>
      <c r="H451" s="1">
        <v>20090</v>
      </c>
      <c r="I451" s="1" t="s">
        <v>433</v>
      </c>
      <c r="J451" t="s">
        <v>447</v>
      </c>
      <c r="K451" s="12">
        <v>79.900000000000006</v>
      </c>
      <c r="L451" s="14">
        <f ca="1">TRUNC((TODAY()-TabelaBase[[#This Row],[Data Nascimento]])/365)</f>
        <v>71</v>
      </c>
      <c r="M451" s="14" t="str">
        <f ca="1">HLOOKUP(TabelaBase[[#This Row],[Idade]],$O$3:$R$4,2,TRUE)</f>
        <v>54-70</v>
      </c>
    </row>
    <row r="452" spans="2:13" x14ac:dyDescent="0.3">
      <c r="B452" s="11">
        <v>51204535285</v>
      </c>
      <c r="C452" t="s">
        <v>199</v>
      </c>
      <c r="D452" t="s">
        <v>5</v>
      </c>
      <c r="E452" t="s">
        <v>8</v>
      </c>
      <c r="F452" t="s">
        <v>12</v>
      </c>
      <c r="G452" t="s">
        <v>425</v>
      </c>
      <c r="H452" s="1">
        <v>27477</v>
      </c>
      <c r="I452" s="1" t="s">
        <v>433</v>
      </c>
      <c r="J452" t="s">
        <v>447</v>
      </c>
      <c r="K452" s="12">
        <v>79.900000000000006</v>
      </c>
      <c r="L452" s="14">
        <f ca="1">TRUNC((TODAY()-TabelaBase[[#This Row],[Data Nascimento]])/365)</f>
        <v>50</v>
      </c>
      <c r="M452" s="14" t="str">
        <f ca="1">HLOOKUP(TabelaBase[[#This Row],[Idade]],$O$3:$R$4,2,TRUE)</f>
        <v>44 - 54</v>
      </c>
    </row>
    <row r="453" spans="2:13" x14ac:dyDescent="0.3">
      <c r="B453" s="11">
        <v>51230053057</v>
      </c>
      <c r="C453" t="s">
        <v>110</v>
      </c>
      <c r="D453" t="s">
        <v>5</v>
      </c>
      <c r="E453" t="s">
        <v>7</v>
      </c>
      <c r="F453" t="s">
        <v>13</v>
      </c>
      <c r="G453" t="s">
        <v>426</v>
      </c>
      <c r="H453" s="1">
        <v>31072</v>
      </c>
      <c r="I453" s="1" t="s">
        <v>433</v>
      </c>
      <c r="J453" t="s">
        <v>446</v>
      </c>
      <c r="K453" s="12">
        <v>9.9</v>
      </c>
      <c r="L453" s="14">
        <f ca="1">TRUNC((TODAY()-TabelaBase[[#This Row],[Data Nascimento]])/365)</f>
        <v>40</v>
      </c>
      <c r="M453" s="14" t="str">
        <f ca="1">HLOOKUP(TabelaBase[[#This Row],[Idade]],$O$3:$R$4,2,TRUE)</f>
        <v>35 - 44</v>
      </c>
    </row>
    <row r="454" spans="2:13" x14ac:dyDescent="0.3">
      <c r="B454" s="11">
        <v>51483423208</v>
      </c>
      <c r="C454" t="s">
        <v>182</v>
      </c>
      <c r="D454" t="s">
        <v>5</v>
      </c>
      <c r="E454" t="s">
        <v>8</v>
      </c>
      <c r="F454" t="s">
        <v>13</v>
      </c>
      <c r="G454" t="s">
        <v>424</v>
      </c>
      <c r="H454" s="1">
        <v>34562</v>
      </c>
      <c r="I454" s="1" t="s">
        <v>429</v>
      </c>
      <c r="J454" t="s">
        <v>446</v>
      </c>
      <c r="K454" s="12">
        <v>9.9</v>
      </c>
      <c r="L454" s="14">
        <f ca="1">TRUNC((TODAY()-TabelaBase[[#This Row],[Data Nascimento]])/365)</f>
        <v>31</v>
      </c>
      <c r="M454" s="14" t="str">
        <f ca="1">HLOOKUP(TabelaBase[[#This Row],[Idade]],$O$3:$R$4,2,TRUE)</f>
        <v>24-34</v>
      </c>
    </row>
    <row r="455" spans="2:13" x14ac:dyDescent="0.3">
      <c r="B455" s="11">
        <v>51537734484</v>
      </c>
      <c r="C455" t="s">
        <v>108</v>
      </c>
      <c r="D455" t="s">
        <v>6</v>
      </c>
      <c r="E455" t="s">
        <v>416</v>
      </c>
      <c r="F455" t="s">
        <v>13</v>
      </c>
      <c r="G455" t="s">
        <v>425</v>
      </c>
      <c r="H455" s="1">
        <v>22392</v>
      </c>
      <c r="I455" s="1" t="s">
        <v>432</v>
      </c>
      <c r="J455" t="s">
        <v>446</v>
      </c>
      <c r="K455" s="12">
        <v>9.9</v>
      </c>
      <c r="L455" s="14">
        <f ca="1">TRUNC((TODAY()-TabelaBase[[#This Row],[Data Nascimento]])/365)</f>
        <v>64</v>
      </c>
      <c r="M455" s="14" t="str">
        <f ca="1">HLOOKUP(TabelaBase[[#This Row],[Idade]],$O$3:$R$4,2,TRUE)</f>
        <v>54-70</v>
      </c>
    </row>
    <row r="456" spans="2:13" x14ac:dyDescent="0.3">
      <c r="B456" s="11">
        <v>51624291281</v>
      </c>
      <c r="C456" t="s">
        <v>187</v>
      </c>
      <c r="D456" t="s">
        <v>5</v>
      </c>
      <c r="E456" t="s">
        <v>7</v>
      </c>
      <c r="F456" t="s">
        <v>12</v>
      </c>
      <c r="G456" t="s">
        <v>425</v>
      </c>
      <c r="H456" s="1">
        <v>25264</v>
      </c>
      <c r="I456" s="1" t="s">
        <v>436</v>
      </c>
      <c r="J456" t="s">
        <v>446</v>
      </c>
      <c r="K456" s="12">
        <v>9.9</v>
      </c>
      <c r="L456" s="14">
        <f ca="1">TRUNC((TODAY()-TabelaBase[[#This Row],[Data Nascimento]])/365)</f>
        <v>56</v>
      </c>
      <c r="M456" s="14" t="str">
        <f ca="1">HLOOKUP(TabelaBase[[#This Row],[Idade]],$O$3:$R$4,2,TRUE)</f>
        <v>54-70</v>
      </c>
    </row>
    <row r="457" spans="2:13" x14ac:dyDescent="0.3">
      <c r="B457" s="11">
        <v>51629234687</v>
      </c>
      <c r="C457" t="s">
        <v>292</v>
      </c>
      <c r="D457" t="s">
        <v>5</v>
      </c>
      <c r="E457" t="s">
        <v>8</v>
      </c>
      <c r="F457" t="s">
        <v>14</v>
      </c>
      <c r="G457" t="s">
        <v>425</v>
      </c>
      <c r="H457" s="1">
        <v>25735</v>
      </c>
      <c r="I457" s="1" t="s">
        <v>436</v>
      </c>
      <c r="J457" t="s">
        <v>444</v>
      </c>
      <c r="K457" s="12">
        <v>29.9</v>
      </c>
      <c r="L457" s="14">
        <f ca="1">TRUNC((TODAY()-TabelaBase[[#This Row],[Data Nascimento]])/365)</f>
        <v>55</v>
      </c>
      <c r="M457" s="14" t="str">
        <f ca="1">HLOOKUP(TabelaBase[[#This Row],[Idade]],$O$3:$R$4,2,TRUE)</f>
        <v>54-70</v>
      </c>
    </row>
    <row r="458" spans="2:13" x14ac:dyDescent="0.3">
      <c r="B458" s="11">
        <v>51648535772</v>
      </c>
      <c r="C458" t="s">
        <v>134</v>
      </c>
      <c r="D458" t="s">
        <v>6</v>
      </c>
      <c r="E458" t="s">
        <v>417</v>
      </c>
      <c r="F458" t="s">
        <v>13</v>
      </c>
      <c r="G458" t="s">
        <v>425</v>
      </c>
      <c r="H458" s="1">
        <v>23510</v>
      </c>
      <c r="I458" s="1" t="s">
        <v>436</v>
      </c>
      <c r="J458" t="s">
        <v>446</v>
      </c>
      <c r="K458" s="12">
        <v>9.9</v>
      </c>
      <c r="L458" s="14">
        <f ca="1">TRUNC((TODAY()-TabelaBase[[#This Row],[Data Nascimento]])/365)</f>
        <v>61</v>
      </c>
      <c r="M458" s="14" t="str">
        <f ca="1">HLOOKUP(TabelaBase[[#This Row],[Idade]],$O$3:$R$4,2,TRUE)</f>
        <v>54-70</v>
      </c>
    </row>
    <row r="459" spans="2:13" x14ac:dyDescent="0.3">
      <c r="B459" s="11">
        <v>51676477218</v>
      </c>
      <c r="C459" t="s">
        <v>147</v>
      </c>
      <c r="D459" t="s">
        <v>6</v>
      </c>
      <c r="E459" t="s">
        <v>7</v>
      </c>
      <c r="F459" t="s">
        <v>9</v>
      </c>
      <c r="G459" t="s">
        <v>425</v>
      </c>
      <c r="H459" s="1">
        <v>24740</v>
      </c>
      <c r="I459" s="1" t="s">
        <v>436</v>
      </c>
      <c r="J459" t="s">
        <v>446</v>
      </c>
      <c r="K459" s="12">
        <v>9.9</v>
      </c>
      <c r="L459" s="14">
        <f ca="1">TRUNC((TODAY()-TabelaBase[[#This Row],[Data Nascimento]])/365)</f>
        <v>58</v>
      </c>
      <c r="M459" s="14" t="str">
        <f ca="1">HLOOKUP(TabelaBase[[#This Row],[Idade]],$O$3:$R$4,2,TRUE)</f>
        <v>54-70</v>
      </c>
    </row>
    <row r="460" spans="2:13" x14ac:dyDescent="0.3">
      <c r="B460" s="11">
        <v>51680460346</v>
      </c>
      <c r="C460" t="s">
        <v>216</v>
      </c>
      <c r="D460" t="s">
        <v>6</v>
      </c>
      <c r="E460" t="s">
        <v>7</v>
      </c>
      <c r="F460" t="s">
        <v>13</v>
      </c>
      <c r="G460" t="s">
        <v>426</v>
      </c>
      <c r="H460" s="1">
        <v>32813</v>
      </c>
      <c r="I460" s="1" t="s">
        <v>436</v>
      </c>
      <c r="J460" t="s">
        <v>445</v>
      </c>
      <c r="K460" s="12">
        <v>35.9</v>
      </c>
      <c r="L460" s="14">
        <f ca="1">TRUNC((TODAY()-TabelaBase[[#This Row],[Data Nascimento]])/365)</f>
        <v>36</v>
      </c>
      <c r="M460" s="14" t="str">
        <f ca="1">HLOOKUP(TabelaBase[[#This Row],[Idade]],$O$3:$R$4,2,TRUE)</f>
        <v>35 - 44</v>
      </c>
    </row>
    <row r="461" spans="2:13" x14ac:dyDescent="0.3">
      <c r="B461" s="11">
        <v>51711010382</v>
      </c>
      <c r="C461" t="s">
        <v>106</v>
      </c>
      <c r="D461" t="s">
        <v>6</v>
      </c>
      <c r="E461" t="s">
        <v>417</v>
      </c>
      <c r="F461" t="s">
        <v>14</v>
      </c>
      <c r="G461" t="s">
        <v>426</v>
      </c>
      <c r="H461" s="1">
        <v>27228</v>
      </c>
      <c r="I461" s="1" t="s">
        <v>436</v>
      </c>
      <c r="J461" t="s">
        <v>444</v>
      </c>
      <c r="K461" s="12">
        <v>29.9</v>
      </c>
      <c r="L461" s="14">
        <f ca="1">TRUNC((TODAY()-TabelaBase[[#This Row],[Data Nascimento]])/365)</f>
        <v>51</v>
      </c>
      <c r="M461" s="14" t="str">
        <f ca="1">HLOOKUP(TabelaBase[[#This Row],[Idade]],$O$3:$R$4,2,TRUE)</f>
        <v>44 - 54</v>
      </c>
    </row>
    <row r="462" spans="2:13" x14ac:dyDescent="0.3">
      <c r="B462" s="11">
        <v>51769930316</v>
      </c>
      <c r="C462" t="s">
        <v>335</v>
      </c>
      <c r="D462" t="s">
        <v>5</v>
      </c>
      <c r="E462" t="s">
        <v>417</v>
      </c>
      <c r="F462" t="s">
        <v>427</v>
      </c>
      <c r="G462" t="s">
        <v>425</v>
      </c>
      <c r="H462" s="1">
        <v>25885</v>
      </c>
      <c r="I462" s="1" t="s">
        <v>435</v>
      </c>
      <c r="J462" t="s">
        <v>444</v>
      </c>
      <c r="K462" s="12">
        <v>29.9</v>
      </c>
      <c r="L462" s="14">
        <f ca="1">TRUNC((TODAY()-TabelaBase[[#This Row],[Data Nascimento]])/365)</f>
        <v>55</v>
      </c>
      <c r="M462" s="14" t="str">
        <f ca="1">HLOOKUP(TabelaBase[[#This Row],[Idade]],$O$3:$R$4,2,TRUE)</f>
        <v>54-70</v>
      </c>
    </row>
    <row r="463" spans="2:13" x14ac:dyDescent="0.3">
      <c r="B463" s="11">
        <v>51789418350</v>
      </c>
      <c r="C463" t="s">
        <v>395</v>
      </c>
      <c r="D463" t="s">
        <v>5</v>
      </c>
      <c r="E463" t="s">
        <v>417</v>
      </c>
      <c r="F463" t="s">
        <v>13</v>
      </c>
      <c r="G463" t="s">
        <v>425</v>
      </c>
      <c r="H463" s="1">
        <v>30824</v>
      </c>
      <c r="I463" s="1" t="s">
        <v>433</v>
      </c>
      <c r="J463" t="s">
        <v>444</v>
      </c>
      <c r="K463" s="12">
        <v>29.9</v>
      </c>
      <c r="L463" s="14">
        <f ca="1">TRUNC((TODAY()-TabelaBase[[#This Row],[Data Nascimento]])/365)</f>
        <v>41</v>
      </c>
      <c r="M463" s="14" t="str">
        <f ca="1">HLOOKUP(TabelaBase[[#This Row],[Idade]],$O$3:$R$4,2,TRUE)</f>
        <v>35 - 44</v>
      </c>
    </row>
    <row r="464" spans="2:13" x14ac:dyDescent="0.3">
      <c r="B464" s="11">
        <v>51815365690</v>
      </c>
      <c r="C464" t="s">
        <v>136</v>
      </c>
      <c r="D464" t="s">
        <v>6</v>
      </c>
      <c r="E464" t="s">
        <v>7</v>
      </c>
      <c r="F464" t="s">
        <v>14</v>
      </c>
      <c r="G464" t="s">
        <v>426</v>
      </c>
      <c r="H464" s="1">
        <v>23176</v>
      </c>
      <c r="I464" s="1" t="s">
        <v>433</v>
      </c>
      <c r="J464" t="s">
        <v>446</v>
      </c>
      <c r="K464" s="12">
        <v>9.9</v>
      </c>
      <c r="L464" s="14">
        <f ca="1">TRUNC((TODAY()-TabelaBase[[#This Row],[Data Nascimento]])/365)</f>
        <v>62</v>
      </c>
      <c r="M464" s="14" t="str">
        <f ca="1">HLOOKUP(TabelaBase[[#This Row],[Idade]],$O$3:$R$4,2,TRUE)</f>
        <v>54-70</v>
      </c>
    </row>
    <row r="465" spans="2:13" x14ac:dyDescent="0.3">
      <c r="B465" s="11">
        <v>51918800636</v>
      </c>
      <c r="C465" t="s">
        <v>85</v>
      </c>
      <c r="D465" t="s">
        <v>6</v>
      </c>
      <c r="E465" t="s">
        <v>7</v>
      </c>
      <c r="F465" t="s">
        <v>427</v>
      </c>
      <c r="G465" t="s">
        <v>425</v>
      </c>
      <c r="H465" s="1">
        <v>21278</v>
      </c>
      <c r="I465" s="1" t="s">
        <v>433</v>
      </c>
      <c r="J465" t="s">
        <v>445</v>
      </c>
      <c r="K465" s="12">
        <v>35.9</v>
      </c>
      <c r="L465" s="14">
        <f ca="1">TRUNC((TODAY()-TabelaBase[[#This Row],[Data Nascimento]])/365)</f>
        <v>67</v>
      </c>
      <c r="M465" s="14" t="str">
        <f ca="1">HLOOKUP(TabelaBase[[#This Row],[Idade]],$O$3:$R$4,2,TRUE)</f>
        <v>54-70</v>
      </c>
    </row>
    <row r="466" spans="2:13" x14ac:dyDescent="0.3">
      <c r="B466" s="11">
        <v>51958244063</v>
      </c>
      <c r="C466" t="s">
        <v>213</v>
      </c>
      <c r="D466" t="s">
        <v>6</v>
      </c>
      <c r="E466" t="s">
        <v>7</v>
      </c>
      <c r="F466" t="s">
        <v>427</v>
      </c>
      <c r="G466" t="s">
        <v>424</v>
      </c>
      <c r="H466" s="1">
        <v>28924</v>
      </c>
      <c r="I466" s="1" t="s">
        <v>433</v>
      </c>
      <c r="J466" t="s">
        <v>446</v>
      </c>
      <c r="K466" s="12">
        <v>9.9</v>
      </c>
      <c r="L466" s="14">
        <f ca="1">TRUNC((TODAY()-TabelaBase[[#This Row],[Data Nascimento]])/365)</f>
        <v>46</v>
      </c>
      <c r="M466" s="14" t="str">
        <f ca="1">HLOOKUP(TabelaBase[[#This Row],[Idade]],$O$3:$R$4,2,TRUE)</f>
        <v>44 - 54</v>
      </c>
    </row>
    <row r="467" spans="2:13" x14ac:dyDescent="0.3">
      <c r="B467" s="11">
        <v>51993203545</v>
      </c>
      <c r="C467" t="s">
        <v>362</v>
      </c>
      <c r="D467" t="s">
        <v>5</v>
      </c>
      <c r="E467" t="s">
        <v>8</v>
      </c>
      <c r="F467" t="s">
        <v>13</v>
      </c>
      <c r="G467" t="s">
        <v>424</v>
      </c>
      <c r="H467" s="1">
        <v>25285</v>
      </c>
      <c r="I467" s="1" t="s">
        <v>433</v>
      </c>
      <c r="J467" t="s">
        <v>447</v>
      </c>
      <c r="K467" s="12">
        <v>79.900000000000006</v>
      </c>
      <c r="L467" s="14">
        <f ca="1">TRUNC((TODAY()-TabelaBase[[#This Row],[Data Nascimento]])/365)</f>
        <v>56</v>
      </c>
      <c r="M467" s="14" t="str">
        <f ca="1">HLOOKUP(TabelaBase[[#This Row],[Idade]],$O$3:$R$4,2,TRUE)</f>
        <v>54-70</v>
      </c>
    </row>
    <row r="468" spans="2:13" x14ac:dyDescent="0.3">
      <c r="B468" s="11">
        <v>52074827600</v>
      </c>
      <c r="C468" t="s">
        <v>259</v>
      </c>
      <c r="D468" t="s">
        <v>5</v>
      </c>
      <c r="E468" t="s">
        <v>8</v>
      </c>
      <c r="F468" t="s">
        <v>12</v>
      </c>
      <c r="G468" t="s">
        <v>426</v>
      </c>
      <c r="H468" s="1">
        <v>21555</v>
      </c>
      <c r="I468" s="1" t="s">
        <v>430</v>
      </c>
      <c r="J468" t="s">
        <v>446</v>
      </c>
      <c r="K468" s="12">
        <v>9.9</v>
      </c>
      <c r="L468" s="14">
        <f ca="1">TRUNC((TODAY()-TabelaBase[[#This Row],[Data Nascimento]])/365)</f>
        <v>67</v>
      </c>
      <c r="M468" s="14" t="str">
        <f ca="1">HLOOKUP(TabelaBase[[#This Row],[Idade]],$O$3:$R$4,2,TRUE)</f>
        <v>54-70</v>
      </c>
    </row>
    <row r="469" spans="2:13" x14ac:dyDescent="0.3">
      <c r="B469" s="11">
        <v>52113552792</v>
      </c>
      <c r="C469" t="s">
        <v>316</v>
      </c>
      <c r="D469" t="s">
        <v>6</v>
      </c>
      <c r="E469" t="s">
        <v>7</v>
      </c>
      <c r="F469" t="s">
        <v>14</v>
      </c>
      <c r="G469" t="s">
        <v>426</v>
      </c>
      <c r="H469" s="1">
        <v>23217</v>
      </c>
      <c r="I469" s="1" t="s">
        <v>429</v>
      </c>
      <c r="J469" t="s">
        <v>444</v>
      </c>
      <c r="K469" s="12">
        <v>29.9</v>
      </c>
      <c r="L469" s="14">
        <f ca="1">TRUNC((TODAY()-TabelaBase[[#This Row],[Data Nascimento]])/365)</f>
        <v>62</v>
      </c>
      <c r="M469" s="14" t="str">
        <f ca="1">HLOOKUP(TabelaBase[[#This Row],[Idade]],$O$3:$R$4,2,TRUE)</f>
        <v>54-70</v>
      </c>
    </row>
    <row r="470" spans="2:13" x14ac:dyDescent="0.3">
      <c r="B470" s="11">
        <v>52125136892</v>
      </c>
      <c r="C470" t="s">
        <v>174</v>
      </c>
      <c r="D470" t="s">
        <v>6</v>
      </c>
      <c r="E470" t="s">
        <v>417</v>
      </c>
      <c r="F470" t="s">
        <v>11</v>
      </c>
      <c r="G470" t="s">
        <v>425</v>
      </c>
      <c r="H470" s="1">
        <v>23887</v>
      </c>
      <c r="I470" s="1" t="s">
        <v>431</v>
      </c>
      <c r="J470" t="s">
        <v>447</v>
      </c>
      <c r="K470" s="12">
        <v>79.900000000000006</v>
      </c>
      <c r="L470" s="14">
        <f ca="1">TRUNC((TODAY()-TabelaBase[[#This Row],[Data Nascimento]])/365)</f>
        <v>60</v>
      </c>
      <c r="M470" s="14" t="str">
        <f ca="1">HLOOKUP(TabelaBase[[#This Row],[Idade]],$O$3:$R$4,2,TRUE)</f>
        <v>54-70</v>
      </c>
    </row>
    <row r="471" spans="2:13" x14ac:dyDescent="0.3">
      <c r="B471" s="11">
        <v>52171616989</v>
      </c>
      <c r="C471" t="s">
        <v>254</v>
      </c>
      <c r="D471" t="s">
        <v>6</v>
      </c>
      <c r="E471" t="s">
        <v>417</v>
      </c>
      <c r="F471" t="s">
        <v>13</v>
      </c>
      <c r="G471" t="s">
        <v>425</v>
      </c>
      <c r="H471" s="1">
        <v>31303</v>
      </c>
      <c r="I471" s="1" t="s">
        <v>432</v>
      </c>
      <c r="J471" t="s">
        <v>446</v>
      </c>
      <c r="K471" s="12">
        <v>9.9</v>
      </c>
      <c r="L471" s="14">
        <f ca="1">TRUNC((TODAY()-TabelaBase[[#This Row],[Data Nascimento]])/365)</f>
        <v>40</v>
      </c>
      <c r="M471" s="14" t="str">
        <f ca="1">HLOOKUP(TabelaBase[[#This Row],[Idade]],$O$3:$R$4,2,TRUE)</f>
        <v>35 - 44</v>
      </c>
    </row>
    <row r="472" spans="2:13" x14ac:dyDescent="0.3">
      <c r="B472" s="11">
        <v>52175547539</v>
      </c>
      <c r="C472" t="s">
        <v>45</v>
      </c>
      <c r="D472" t="s">
        <v>6</v>
      </c>
      <c r="E472" t="s">
        <v>7</v>
      </c>
      <c r="F472" t="s">
        <v>427</v>
      </c>
      <c r="G472" t="s">
        <v>425</v>
      </c>
      <c r="H472" s="1">
        <v>31675</v>
      </c>
      <c r="I472" s="1" t="s">
        <v>434</v>
      </c>
      <c r="J472" t="s">
        <v>446</v>
      </c>
      <c r="K472" s="12">
        <v>9.9</v>
      </c>
      <c r="L472" s="14">
        <f ca="1">TRUNC((TODAY()-TabelaBase[[#This Row],[Data Nascimento]])/365)</f>
        <v>39</v>
      </c>
      <c r="M472" s="14" t="str">
        <f ca="1">HLOOKUP(TabelaBase[[#This Row],[Idade]],$O$3:$R$4,2,TRUE)</f>
        <v>35 - 44</v>
      </c>
    </row>
    <row r="473" spans="2:13" x14ac:dyDescent="0.3">
      <c r="B473" s="11">
        <v>52194876240</v>
      </c>
      <c r="C473" t="s">
        <v>157</v>
      </c>
      <c r="D473" t="s">
        <v>6</v>
      </c>
      <c r="E473" t="s">
        <v>7</v>
      </c>
      <c r="F473" t="s">
        <v>427</v>
      </c>
      <c r="G473" t="s">
        <v>425</v>
      </c>
      <c r="H473" s="1">
        <v>33341</v>
      </c>
      <c r="I473" s="1" t="s">
        <v>430</v>
      </c>
      <c r="J473" t="s">
        <v>445</v>
      </c>
      <c r="K473" s="12">
        <v>35.9</v>
      </c>
      <c r="L473" s="14">
        <f ca="1">TRUNC((TODAY()-TabelaBase[[#This Row],[Data Nascimento]])/365)</f>
        <v>34</v>
      </c>
      <c r="M473" s="14" t="str">
        <f ca="1">HLOOKUP(TabelaBase[[#This Row],[Idade]],$O$3:$R$4,2,TRUE)</f>
        <v>24-34</v>
      </c>
    </row>
    <row r="474" spans="2:13" x14ac:dyDescent="0.3">
      <c r="B474" s="11">
        <v>52237008409</v>
      </c>
      <c r="C474" t="s">
        <v>197</v>
      </c>
      <c r="D474" t="s">
        <v>5</v>
      </c>
      <c r="E474" t="s">
        <v>7</v>
      </c>
      <c r="F474" t="s">
        <v>427</v>
      </c>
      <c r="G474" t="s">
        <v>425</v>
      </c>
      <c r="H474" s="1">
        <v>28985</v>
      </c>
      <c r="I474" s="1" t="s">
        <v>435</v>
      </c>
      <c r="J474" t="s">
        <v>445</v>
      </c>
      <c r="K474" s="12">
        <v>35.9</v>
      </c>
      <c r="L474" s="14">
        <f ca="1">TRUNC((TODAY()-TabelaBase[[#This Row],[Data Nascimento]])/365)</f>
        <v>46</v>
      </c>
      <c r="M474" s="14" t="str">
        <f ca="1">HLOOKUP(TabelaBase[[#This Row],[Idade]],$O$3:$R$4,2,TRUE)</f>
        <v>44 - 54</v>
      </c>
    </row>
    <row r="475" spans="2:13" x14ac:dyDescent="0.3">
      <c r="B475" s="11">
        <v>52262038971</v>
      </c>
      <c r="C475" t="s">
        <v>303</v>
      </c>
      <c r="D475" t="s">
        <v>5</v>
      </c>
      <c r="E475" t="s">
        <v>7</v>
      </c>
      <c r="F475" t="s">
        <v>9</v>
      </c>
      <c r="G475" t="s">
        <v>424</v>
      </c>
      <c r="H475" s="1">
        <v>32408</v>
      </c>
      <c r="I475" s="1" t="s">
        <v>436</v>
      </c>
      <c r="J475" t="s">
        <v>446</v>
      </c>
      <c r="K475" s="12">
        <v>9.9</v>
      </c>
      <c r="L475" s="14">
        <f ca="1">TRUNC((TODAY()-TabelaBase[[#This Row],[Data Nascimento]])/365)</f>
        <v>37</v>
      </c>
      <c r="M475" s="14" t="str">
        <f ca="1">HLOOKUP(TabelaBase[[#This Row],[Idade]],$O$3:$R$4,2,TRUE)</f>
        <v>35 - 44</v>
      </c>
    </row>
    <row r="476" spans="2:13" x14ac:dyDescent="0.3">
      <c r="B476" s="11">
        <v>52272478127</v>
      </c>
      <c r="C476" t="s">
        <v>46</v>
      </c>
      <c r="D476" t="s">
        <v>5</v>
      </c>
      <c r="E476" t="s">
        <v>417</v>
      </c>
      <c r="F476" t="s">
        <v>427</v>
      </c>
      <c r="G476" t="s">
        <v>426</v>
      </c>
      <c r="H476" s="1">
        <v>32417</v>
      </c>
      <c r="I476" s="1" t="s">
        <v>430</v>
      </c>
      <c r="J476" t="s">
        <v>444</v>
      </c>
      <c r="K476" s="12">
        <v>29.9</v>
      </c>
      <c r="L476" s="14">
        <f ca="1">TRUNC((TODAY()-TabelaBase[[#This Row],[Data Nascimento]])/365)</f>
        <v>37</v>
      </c>
      <c r="M476" s="14" t="str">
        <f ca="1">HLOOKUP(TabelaBase[[#This Row],[Idade]],$O$3:$R$4,2,TRUE)</f>
        <v>35 - 44</v>
      </c>
    </row>
    <row r="477" spans="2:13" x14ac:dyDescent="0.3">
      <c r="B477" s="11">
        <v>52340215967</v>
      </c>
      <c r="C477" t="s">
        <v>77</v>
      </c>
      <c r="D477" t="s">
        <v>6</v>
      </c>
      <c r="E477" t="s">
        <v>7</v>
      </c>
      <c r="F477" t="s">
        <v>427</v>
      </c>
      <c r="G477" t="s">
        <v>425</v>
      </c>
      <c r="H477" s="1">
        <v>22742</v>
      </c>
      <c r="I477" s="1" t="s">
        <v>435</v>
      </c>
      <c r="J477" t="s">
        <v>445</v>
      </c>
      <c r="K477" s="12">
        <v>35.9</v>
      </c>
      <c r="L477" s="14">
        <f ca="1">TRUNC((TODAY()-TabelaBase[[#This Row],[Data Nascimento]])/365)</f>
        <v>63</v>
      </c>
      <c r="M477" s="14" t="str">
        <f ca="1">HLOOKUP(TabelaBase[[#This Row],[Idade]],$O$3:$R$4,2,TRUE)</f>
        <v>54-70</v>
      </c>
    </row>
    <row r="478" spans="2:13" x14ac:dyDescent="0.3">
      <c r="B478" s="11">
        <v>52456163228</v>
      </c>
      <c r="C478" t="s">
        <v>76</v>
      </c>
      <c r="D478" t="s">
        <v>5</v>
      </c>
      <c r="E478" t="s">
        <v>7</v>
      </c>
      <c r="F478" t="s">
        <v>14</v>
      </c>
      <c r="G478" t="s">
        <v>426</v>
      </c>
      <c r="H478" s="1">
        <v>25752</v>
      </c>
      <c r="I478" s="1" t="s">
        <v>436</v>
      </c>
      <c r="J478" t="s">
        <v>444</v>
      </c>
      <c r="K478" s="12">
        <v>29.9</v>
      </c>
      <c r="L478" s="14">
        <f ca="1">TRUNC((TODAY()-TabelaBase[[#This Row],[Data Nascimento]])/365)</f>
        <v>55</v>
      </c>
      <c r="M478" s="14" t="str">
        <f ca="1">HLOOKUP(TabelaBase[[#This Row],[Idade]],$O$3:$R$4,2,TRUE)</f>
        <v>54-70</v>
      </c>
    </row>
    <row r="479" spans="2:13" x14ac:dyDescent="0.3">
      <c r="B479" s="11">
        <v>52607015603</v>
      </c>
      <c r="C479" t="s">
        <v>31</v>
      </c>
      <c r="D479" t="s">
        <v>6</v>
      </c>
      <c r="E479" t="s">
        <v>417</v>
      </c>
      <c r="F479" t="s">
        <v>12</v>
      </c>
      <c r="G479" t="s">
        <v>424</v>
      </c>
      <c r="H479" s="1">
        <v>27830</v>
      </c>
      <c r="I479" s="1" t="s">
        <v>433</v>
      </c>
      <c r="J479" t="s">
        <v>447</v>
      </c>
      <c r="K479" s="12">
        <v>79.900000000000006</v>
      </c>
      <c r="L479" s="14">
        <f ca="1">TRUNC((TODAY()-TabelaBase[[#This Row],[Data Nascimento]])/365)</f>
        <v>49</v>
      </c>
      <c r="M479" s="14" t="str">
        <f ca="1">HLOOKUP(TabelaBase[[#This Row],[Idade]],$O$3:$R$4,2,TRUE)</f>
        <v>44 - 54</v>
      </c>
    </row>
    <row r="480" spans="2:13" x14ac:dyDescent="0.3">
      <c r="B480" s="11">
        <v>52698133621</v>
      </c>
      <c r="C480" t="s">
        <v>75</v>
      </c>
      <c r="D480" t="s">
        <v>6</v>
      </c>
      <c r="E480" t="s">
        <v>417</v>
      </c>
      <c r="F480" t="s">
        <v>9</v>
      </c>
      <c r="G480" t="s">
        <v>425</v>
      </c>
      <c r="H480" s="1">
        <v>33668</v>
      </c>
      <c r="I480" s="1" t="s">
        <v>433</v>
      </c>
      <c r="J480" t="s">
        <v>446</v>
      </c>
      <c r="K480" s="12">
        <v>9.9</v>
      </c>
      <c r="L480" s="14">
        <f ca="1">TRUNC((TODAY()-TabelaBase[[#This Row],[Data Nascimento]])/365)</f>
        <v>33</v>
      </c>
      <c r="M480" s="14" t="str">
        <f ca="1">HLOOKUP(TabelaBase[[#This Row],[Idade]],$O$3:$R$4,2,TRUE)</f>
        <v>24-34</v>
      </c>
    </row>
    <row r="481" spans="2:13" x14ac:dyDescent="0.3">
      <c r="B481" s="11">
        <v>52701318925</v>
      </c>
      <c r="C481" t="s">
        <v>233</v>
      </c>
      <c r="D481" t="s">
        <v>5</v>
      </c>
      <c r="E481" t="s">
        <v>7</v>
      </c>
      <c r="F481" t="s">
        <v>427</v>
      </c>
      <c r="G481" t="s">
        <v>424</v>
      </c>
      <c r="H481" s="1">
        <v>27658</v>
      </c>
      <c r="I481" s="1" t="s">
        <v>433</v>
      </c>
      <c r="J481" t="s">
        <v>445</v>
      </c>
      <c r="K481" s="12">
        <v>35.9</v>
      </c>
      <c r="L481" s="14">
        <f ca="1">TRUNC((TODAY()-TabelaBase[[#This Row],[Data Nascimento]])/365)</f>
        <v>50</v>
      </c>
      <c r="M481" s="14" t="str">
        <f ca="1">HLOOKUP(TabelaBase[[#This Row],[Idade]],$O$3:$R$4,2,TRUE)</f>
        <v>44 - 54</v>
      </c>
    </row>
    <row r="482" spans="2:13" x14ac:dyDescent="0.3">
      <c r="B482" s="11">
        <v>52730416333</v>
      </c>
      <c r="C482" t="s">
        <v>228</v>
      </c>
      <c r="D482" t="s">
        <v>6</v>
      </c>
      <c r="E482" t="s">
        <v>416</v>
      </c>
      <c r="F482" t="s">
        <v>13</v>
      </c>
      <c r="G482" t="s">
        <v>425</v>
      </c>
      <c r="H482" s="1">
        <v>32279</v>
      </c>
      <c r="I482" s="1" t="s">
        <v>433</v>
      </c>
      <c r="J482" t="s">
        <v>446</v>
      </c>
      <c r="K482" s="12">
        <v>9.9</v>
      </c>
      <c r="L482" s="14">
        <f ca="1">TRUNC((TODAY()-TabelaBase[[#This Row],[Data Nascimento]])/365)</f>
        <v>37</v>
      </c>
      <c r="M482" s="14" t="str">
        <f ca="1">HLOOKUP(TabelaBase[[#This Row],[Idade]],$O$3:$R$4,2,TRUE)</f>
        <v>35 - 44</v>
      </c>
    </row>
    <row r="483" spans="2:13" x14ac:dyDescent="0.3">
      <c r="B483" s="11">
        <v>52741320194</v>
      </c>
      <c r="C483" t="s">
        <v>159</v>
      </c>
      <c r="D483" t="s">
        <v>5</v>
      </c>
      <c r="E483" t="s">
        <v>8</v>
      </c>
      <c r="F483" t="s">
        <v>9</v>
      </c>
      <c r="G483" t="s">
        <v>425</v>
      </c>
      <c r="H483" s="1">
        <v>26823</v>
      </c>
      <c r="I483" s="1" t="s">
        <v>433</v>
      </c>
      <c r="J483" t="s">
        <v>446</v>
      </c>
      <c r="K483" s="12">
        <v>9.9</v>
      </c>
      <c r="L483" s="14">
        <f ca="1">TRUNC((TODAY()-TabelaBase[[#This Row],[Data Nascimento]])/365)</f>
        <v>52</v>
      </c>
      <c r="M483" s="14" t="str">
        <f ca="1">HLOOKUP(TabelaBase[[#This Row],[Idade]],$O$3:$R$4,2,TRUE)</f>
        <v>44 - 54</v>
      </c>
    </row>
    <row r="484" spans="2:13" x14ac:dyDescent="0.3">
      <c r="B484" s="11">
        <v>52803639273</v>
      </c>
      <c r="C484" t="s">
        <v>353</v>
      </c>
      <c r="D484" t="s">
        <v>5</v>
      </c>
      <c r="E484" t="s">
        <v>7</v>
      </c>
      <c r="F484" t="s">
        <v>427</v>
      </c>
      <c r="G484" t="s">
        <v>424</v>
      </c>
      <c r="H484" s="1">
        <v>32576</v>
      </c>
      <c r="I484" s="1" t="s">
        <v>433</v>
      </c>
      <c r="J484" t="s">
        <v>445</v>
      </c>
      <c r="K484" s="12">
        <v>35.9</v>
      </c>
      <c r="L484" s="14">
        <f ca="1">TRUNC((TODAY()-TabelaBase[[#This Row],[Data Nascimento]])/365)</f>
        <v>36</v>
      </c>
      <c r="M484" s="14" t="str">
        <f ca="1">HLOOKUP(TabelaBase[[#This Row],[Idade]],$O$3:$R$4,2,TRUE)</f>
        <v>35 - 44</v>
      </c>
    </row>
    <row r="485" spans="2:13" x14ac:dyDescent="0.3">
      <c r="B485" s="11">
        <v>52822338787</v>
      </c>
      <c r="C485" t="s">
        <v>85</v>
      </c>
      <c r="D485" t="s">
        <v>6</v>
      </c>
      <c r="E485" t="s">
        <v>7</v>
      </c>
      <c r="F485" t="s">
        <v>427</v>
      </c>
      <c r="G485" t="s">
        <v>425</v>
      </c>
      <c r="H485" s="1">
        <v>28036</v>
      </c>
      <c r="I485" s="1" t="s">
        <v>433</v>
      </c>
      <c r="J485" t="s">
        <v>445</v>
      </c>
      <c r="K485" s="12">
        <v>35.9</v>
      </c>
      <c r="L485" s="14">
        <f ca="1">TRUNC((TODAY()-TabelaBase[[#This Row],[Data Nascimento]])/365)</f>
        <v>49</v>
      </c>
      <c r="M485" s="14" t="str">
        <f ca="1">HLOOKUP(TabelaBase[[#This Row],[Idade]],$O$3:$R$4,2,TRUE)</f>
        <v>44 - 54</v>
      </c>
    </row>
    <row r="486" spans="2:13" x14ac:dyDescent="0.3">
      <c r="B486" s="11">
        <v>52838416344</v>
      </c>
      <c r="C486" t="s">
        <v>332</v>
      </c>
      <c r="D486" t="s">
        <v>6</v>
      </c>
      <c r="E486" t="s">
        <v>8</v>
      </c>
      <c r="F486" t="s">
        <v>13</v>
      </c>
      <c r="G486" t="s">
        <v>425</v>
      </c>
      <c r="H486" s="1">
        <v>20843</v>
      </c>
      <c r="I486" s="1" t="s">
        <v>433</v>
      </c>
      <c r="J486" t="s">
        <v>446</v>
      </c>
      <c r="K486" s="12">
        <v>9.9</v>
      </c>
      <c r="L486" s="14">
        <f ca="1">TRUNC((TODAY()-TabelaBase[[#This Row],[Data Nascimento]])/365)</f>
        <v>69</v>
      </c>
      <c r="M486" s="14" t="str">
        <f ca="1">HLOOKUP(TabelaBase[[#This Row],[Idade]],$O$3:$R$4,2,TRUE)</f>
        <v>54-70</v>
      </c>
    </row>
    <row r="487" spans="2:13" x14ac:dyDescent="0.3">
      <c r="B487" s="11">
        <v>52969912178</v>
      </c>
      <c r="C487" t="s">
        <v>170</v>
      </c>
      <c r="D487" t="s">
        <v>6</v>
      </c>
      <c r="E487" t="s">
        <v>7</v>
      </c>
      <c r="F487" t="s">
        <v>13</v>
      </c>
      <c r="G487" t="s">
        <v>426</v>
      </c>
      <c r="H487" s="1">
        <v>28586</v>
      </c>
      <c r="I487" s="1" t="s">
        <v>433</v>
      </c>
      <c r="J487" t="s">
        <v>447</v>
      </c>
      <c r="K487" s="12">
        <v>79.900000000000006</v>
      </c>
      <c r="L487" s="14">
        <f ca="1">TRUNC((TODAY()-TabelaBase[[#This Row],[Data Nascimento]])/365)</f>
        <v>47</v>
      </c>
      <c r="M487" s="14" t="str">
        <f ca="1">HLOOKUP(TabelaBase[[#This Row],[Idade]],$O$3:$R$4,2,TRUE)</f>
        <v>44 - 54</v>
      </c>
    </row>
    <row r="488" spans="2:13" x14ac:dyDescent="0.3">
      <c r="B488" s="11">
        <v>53085921994</v>
      </c>
      <c r="C488" t="s">
        <v>18</v>
      </c>
      <c r="D488" t="s">
        <v>5</v>
      </c>
      <c r="E488" t="s">
        <v>417</v>
      </c>
      <c r="F488" t="s">
        <v>11</v>
      </c>
      <c r="G488" t="s">
        <v>426</v>
      </c>
      <c r="H488" s="1">
        <v>33889</v>
      </c>
      <c r="I488" s="1" t="s">
        <v>429</v>
      </c>
      <c r="J488" t="s">
        <v>447</v>
      </c>
      <c r="K488" s="12">
        <v>79.900000000000006</v>
      </c>
      <c r="L488" s="14">
        <f ca="1">TRUNC((TODAY()-TabelaBase[[#This Row],[Data Nascimento]])/365)</f>
        <v>33</v>
      </c>
      <c r="M488" s="14" t="str">
        <f ca="1">HLOOKUP(TabelaBase[[#This Row],[Idade]],$O$3:$R$4,2,TRUE)</f>
        <v>24-34</v>
      </c>
    </row>
    <row r="489" spans="2:13" x14ac:dyDescent="0.3">
      <c r="B489" s="11">
        <v>53104808484</v>
      </c>
      <c r="C489" t="s">
        <v>169</v>
      </c>
      <c r="D489" t="s">
        <v>6</v>
      </c>
      <c r="E489" t="s">
        <v>8</v>
      </c>
      <c r="F489" t="s">
        <v>12</v>
      </c>
      <c r="G489" t="s">
        <v>424</v>
      </c>
      <c r="H489" s="1">
        <v>34593</v>
      </c>
      <c r="I489" s="1" t="s">
        <v>432</v>
      </c>
      <c r="J489" t="s">
        <v>445</v>
      </c>
      <c r="K489" s="12">
        <v>35.9</v>
      </c>
      <c r="L489" s="14">
        <f ca="1">TRUNC((TODAY()-TabelaBase[[#This Row],[Data Nascimento]])/365)</f>
        <v>31</v>
      </c>
      <c r="M489" s="14" t="str">
        <f ca="1">HLOOKUP(TabelaBase[[#This Row],[Idade]],$O$3:$R$4,2,TRUE)</f>
        <v>24-34</v>
      </c>
    </row>
    <row r="490" spans="2:13" x14ac:dyDescent="0.3">
      <c r="B490" s="11">
        <v>53144306711</v>
      </c>
      <c r="C490" t="s">
        <v>282</v>
      </c>
      <c r="D490" t="s">
        <v>6</v>
      </c>
      <c r="E490" t="s">
        <v>8</v>
      </c>
      <c r="F490" t="s">
        <v>11</v>
      </c>
      <c r="G490" t="s">
        <v>424</v>
      </c>
      <c r="H490" s="1">
        <v>31271</v>
      </c>
      <c r="I490" s="1" t="s">
        <v>436</v>
      </c>
      <c r="J490" t="s">
        <v>447</v>
      </c>
      <c r="K490" s="12">
        <v>79.900000000000006</v>
      </c>
      <c r="L490" s="14">
        <f ca="1">TRUNC((TODAY()-TabelaBase[[#This Row],[Data Nascimento]])/365)</f>
        <v>40</v>
      </c>
      <c r="M490" s="14" t="str">
        <f ca="1">HLOOKUP(TabelaBase[[#This Row],[Idade]],$O$3:$R$4,2,TRUE)</f>
        <v>35 - 44</v>
      </c>
    </row>
    <row r="491" spans="2:13" x14ac:dyDescent="0.3">
      <c r="B491" s="11">
        <v>53226935462</v>
      </c>
      <c r="C491" t="s">
        <v>18</v>
      </c>
      <c r="D491" t="s">
        <v>5</v>
      </c>
      <c r="E491" t="s">
        <v>417</v>
      </c>
      <c r="F491" t="s">
        <v>11</v>
      </c>
      <c r="G491" t="s">
        <v>426</v>
      </c>
      <c r="H491" s="1">
        <v>22653</v>
      </c>
      <c r="I491" s="1" t="s">
        <v>436</v>
      </c>
      <c r="J491" t="s">
        <v>447</v>
      </c>
      <c r="K491" s="12">
        <v>79.900000000000006</v>
      </c>
      <c r="L491" s="14">
        <f ca="1">TRUNC((TODAY()-TabelaBase[[#This Row],[Data Nascimento]])/365)</f>
        <v>64</v>
      </c>
      <c r="M491" s="14" t="str">
        <f ca="1">HLOOKUP(TabelaBase[[#This Row],[Idade]],$O$3:$R$4,2,TRUE)</f>
        <v>54-70</v>
      </c>
    </row>
    <row r="492" spans="2:13" x14ac:dyDescent="0.3">
      <c r="B492" s="11">
        <v>53264395264</v>
      </c>
      <c r="C492" t="s">
        <v>300</v>
      </c>
      <c r="D492" t="s">
        <v>6</v>
      </c>
      <c r="E492" t="s">
        <v>7</v>
      </c>
      <c r="F492" t="s">
        <v>13</v>
      </c>
      <c r="G492" t="s">
        <v>425</v>
      </c>
      <c r="H492" s="1">
        <v>27505</v>
      </c>
      <c r="I492" s="1" t="s">
        <v>436</v>
      </c>
      <c r="J492" t="s">
        <v>446</v>
      </c>
      <c r="K492" s="12">
        <v>9.9</v>
      </c>
      <c r="L492" s="14">
        <f ca="1">TRUNC((TODAY()-TabelaBase[[#This Row],[Data Nascimento]])/365)</f>
        <v>50</v>
      </c>
      <c r="M492" s="14" t="str">
        <f ca="1">HLOOKUP(TabelaBase[[#This Row],[Idade]],$O$3:$R$4,2,TRUE)</f>
        <v>44 - 54</v>
      </c>
    </row>
    <row r="493" spans="2:13" x14ac:dyDescent="0.3">
      <c r="B493" s="11">
        <v>53325037620</v>
      </c>
      <c r="C493" t="s">
        <v>227</v>
      </c>
      <c r="D493" t="s">
        <v>5</v>
      </c>
      <c r="E493" t="s">
        <v>7</v>
      </c>
      <c r="F493" t="s">
        <v>13</v>
      </c>
      <c r="G493" t="s">
        <v>425</v>
      </c>
      <c r="H493" s="1">
        <v>30956</v>
      </c>
      <c r="I493" s="1" t="s">
        <v>436</v>
      </c>
      <c r="J493" t="s">
        <v>444</v>
      </c>
      <c r="K493" s="12">
        <v>29.9</v>
      </c>
      <c r="L493" s="14">
        <f ca="1">TRUNC((TODAY()-TabelaBase[[#This Row],[Data Nascimento]])/365)</f>
        <v>41</v>
      </c>
      <c r="M493" s="14" t="str">
        <f ca="1">HLOOKUP(TabelaBase[[#This Row],[Idade]],$O$3:$R$4,2,TRUE)</f>
        <v>35 - 44</v>
      </c>
    </row>
    <row r="494" spans="2:13" x14ac:dyDescent="0.3">
      <c r="B494" s="11">
        <v>53398120004</v>
      </c>
      <c r="C494" t="s">
        <v>68</v>
      </c>
      <c r="D494" t="s">
        <v>5</v>
      </c>
      <c r="E494" t="s">
        <v>416</v>
      </c>
      <c r="F494" t="s">
        <v>13</v>
      </c>
      <c r="G494" t="s">
        <v>425</v>
      </c>
      <c r="H494" s="1">
        <v>31304</v>
      </c>
      <c r="I494" s="1" t="s">
        <v>436</v>
      </c>
      <c r="J494" t="s">
        <v>446</v>
      </c>
      <c r="K494" s="12">
        <v>9.9</v>
      </c>
      <c r="L494" s="14">
        <f ca="1">TRUNC((TODAY()-TabelaBase[[#This Row],[Data Nascimento]])/365)</f>
        <v>40</v>
      </c>
      <c r="M494" s="14" t="str">
        <f ca="1">HLOOKUP(TabelaBase[[#This Row],[Idade]],$O$3:$R$4,2,TRUE)</f>
        <v>35 - 44</v>
      </c>
    </row>
    <row r="495" spans="2:13" x14ac:dyDescent="0.3">
      <c r="B495" s="11">
        <v>53544540367</v>
      </c>
      <c r="C495" t="s">
        <v>366</v>
      </c>
      <c r="D495" t="s">
        <v>5</v>
      </c>
      <c r="E495" t="s">
        <v>417</v>
      </c>
      <c r="F495" t="s">
        <v>11</v>
      </c>
      <c r="G495" t="s">
        <v>426</v>
      </c>
      <c r="H495" s="1">
        <v>32321</v>
      </c>
      <c r="I495" s="1" t="s">
        <v>436</v>
      </c>
      <c r="J495" t="s">
        <v>447</v>
      </c>
      <c r="K495" s="12">
        <v>79.900000000000006</v>
      </c>
      <c r="L495" s="14">
        <f ca="1">TRUNC((TODAY()-TabelaBase[[#This Row],[Data Nascimento]])/365)</f>
        <v>37</v>
      </c>
      <c r="M495" s="14" t="str">
        <f ca="1">HLOOKUP(TabelaBase[[#This Row],[Idade]],$O$3:$R$4,2,TRUE)</f>
        <v>35 - 44</v>
      </c>
    </row>
    <row r="496" spans="2:13" x14ac:dyDescent="0.3">
      <c r="B496" s="11">
        <v>53556010406</v>
      </c>
      <c r="C496" t="s">
        <v>285</v>
      </c>
      <c r="D496" t="s">
        <v>5</v>
      </c>
      <c r="E496" t="s">
        <v>7</v>
      </c>
      <c r="F496" t="s">
        <v>427</v>
      </c>
      <c r="G496" t="s">
        <v>425</v>
      </c>
      <c r="H496" s="1">
        <v>25705</v>
      </c>
      <c r="I496" s="1" t="s">
        <v>435</v>
      </c>
      <c r="J496" t="s">
        <v>446</v>
      </c>
      <c r="K496" s="12">
        <v>9.9</v>
      </c>
      <c r="L496" s="14">
        <f ca="1">TRUNC((TODAY()-TabelaBase[[#This Row],[Data Nascimento]])/365)</f>
        <v>55</v>
      </c>
      <c r="M496" s="14" t="str">
        <f ca="1">HLOOKUP(TabelaBase[[#This Row],[Idade]],$O$3:$R$4,2,TRUE)</f>
        <v>54-70</v>
      </c>
    </row>
    <row r="497" spans="2:13" x14ac:dyDescent="0.3">
      <c r="B497" s="11">
        <v>53620445355</v>
      </c>
      <c r="C497" t="s">
        <v>180</v>
      </c>
      <c r="D497" t="s">
        <v>5</v>
      </c>
      <c r="E497" t="s">
        <v>7</v>
      </c>
      <c r="F497" t="s">
        <v>13</v>
      </c>
      <c r="G497" t="s">
        <v>425</v>
      </c>
      <c r="H497" s="1">
        <v>21797</v>
      </c>
      <c r="I497" s="1" t="s">
        <v>433</v>
      </c>
      <c r="J497" t="s">
        <v>446</v>
      </c>
      <c r="K497" s="12">
        <v>9.9</v>
      </c>
      <c r="L497" s="14">
        <f ca="1">TRUNC((TODAY()-TabelaBase[[#This Row],[Data Nascimento]])/365)</f>
        <v>66</v>
      </c>
      <c r="M497" s="14" t="str">
        <f ca="1">HLOOKUP(TabelaBase[[#This Row],[Idade]],$O$3:$R$4,2,TRUE)</f>
        <v>54-70</v>
      </c>
    </row>
    <row r="498" spans="2:13" x14ac:dyDescent="0.3">
      <c r="B498" s="11">
        <v>53634568625</v>
      </c>
      <c r="C498" t="s">
        <v>240</v>
      </c>
      <c r="D498" t="s">
        <v>6</v>
      </c>
      <c r="E498" t="s">
        <v>7</v>
      </c>
      <c r="F498" t="s">
        <v>13</v>
      </c>
      <c r="G498" t="s">
        <v>426</v>
      </c>
      <c r="H498" s="1">
        <v>29711</v>
      </c>
      <c r="I498" s="1" t="s">
        <v>433</v>
      </c>
      <c r="J498" t="s">
        <v>445</v>
      </c>
      <c r="K498" s="12">
        <v>35.9</v>
      </c>
      <c r="L498" s="14">
        <f ca="1">TRUNC((TODAY()-TabelaBase[[#This Row],[Data Nascimento]])/365)</f>
        <v>44</v>
      </c>
      <c r="M498" s="14" t="str">
        <f ca="1">HLOOKUP(TabelaBase[[#This Row],[Idade]],$O$3:$R$4,2,TRUE)</f>
        <v>44 - 54</v>
      </c>
    </row>
    <row r="499" spans="2:13" x14ac:dyDescent="0.3">
      <c r="B499" s="11">
        <v>53741571286</v>
      </c>
      <c r="C499" t="s">
        <v>66</v>
      </c>
      <c r="D499" t="s">
        <v>5</v>
      </c>
      <c r="E499" t="s">
        <v>417</v>
      </c>
      <c r="F499" t="s">
        <v>11</v>
      </c>
      <c r="G499" t="s">
        <v>426</v>
      </c>
      <c r="H499" s="1">
        <v>35171</v>
      </c>
      <c r="I499" s="1" t="s">
        <v>433</v>
      </c>
      <c r="J499" t="s">
        <v>447</v>
      </c>
      <c r="K499" s="12">
        <v>79.900000000000006</v>
      </c>
      <c r="L499" s="14">
        <f ca="1">TRUNC((TODAY()-TabelaBase[[#This Row],[Data Nascimento]])/365)</f>
        <v>29</v>
      </c>
      <c r="M499" s="14" t="str">
        <f ca="1">HLOOKUP(TabelaBase[[#This Row],[Idade]],$O$3:$R$4,2,TRUE)</f>
        <v>24-34</v>
      </c>
    </row>
    <row r="500" spans="2:13" x14ac:dyDescent="0.3">
      <c r="B500" s="11">
        <v>53837589861</v>
      </c>
      <c r="C500" t="s">
        <v>78</v>
      </c>
      <c r="D500" t="s">
        <v>5</v>
      </c>
      <c r="E500" t="s">
        <v>417</v>
      </c>
      <c r="F500" t="s">
        <v>11</v>
      </c>
      <c r="G500" t="s">
        <v>426</v>
      </c>
      <c r="H500" s="1">
        <v>30733</v>
      </c>
      <c r="I500" s="1" t="s">
        <v>433</v>
      </c>
      <c r="J500" t="s">
        <v>447</v>
      </c>
      <c r="K500" s="12">
        <v>79.900000000000006</v>
      </c>
      <c r="L500" s="14">
        <f ca="1">TRUNC((TODAY()-TabelaBase[[#This Row],[Data Nascimento]])/365)</f>
        <v>41</v>
      </c>
      <c r="M500" s="14" t="str">
        <f ca="1">HLOOKUP(TabelaBase[[#This Row],[Idade]],$O$3:$R$4,2,TRUE)</f>
        <v>35 - 44</v>
      </c>
    </row>
    <row r="501" spans="2:13" x14ac:dyDescent="0.3">
      <c r="B501" s="11">
        <v>53837650572</v>
      </c>
      <c r="C501" t="s">
        <v>307</v>
      </c>
      <c r="D501" t="s">
        <v>5</v>
      </c>
      <c r="E501" t="s">
        <v>7</v>
      </c>
      <c r="F501" t="s">
        <v>12</v>
      </c>
      <c r="G501" t="s">
        <v>425</v>
      </c>
      <c r="H501" s="1">
        <v>32699</v>
      </c>
      <c r="I501" s="1" t="s">
        <v>433</v>
      </c>
      <c r="J501" t="s">
        <v>446</v>
      </c>
      <c r="K501" s="12">
        <v>9.9</v>
      </c>
      <c r="L501" s="14">
        <f ca="1">TRUNC((TODAY()-TabelaBase[[#This Row],[Data Nascimento]])/365)</f>
        <v>36</v>
      </c>
      <c r="M501" s="14" t="str">
        <f ca="1">HLOOKUP(TabelaBase[[#This Row],[Idade]],$O$3:$R$4,2,TRUE)</f>
        <v>35 - 44</v>
      </c>
    </row>
    <row r="502" spans="2:13" x14ac:dyDescent="0.3">
      <c r="B502" s="11">
        <v>53842530303</v>
      </c>
      <c r="C502" t="s">
        <v>188</v>
      </c>
      <c r="D502" t="s">
        <v>5</v>
      </c>
      <c r="E502" t="s">
        <v>416</v>
      </c>
      <c r="F502" t="s">
        <v>13</v>
      </c>
      <c r="G502" t="s">
        <v>425</v>
      </c>
      <c r="H502" s="1">
        <v>34346</v>
      </c>
      <c r="I502" s="1" t="s">
        <v>430</v>
      </c>
      <c r="J502" t="s">
        <v>446</v>
      </c>
      <c r="K502" s="12">
        <v>9.9</v>
      </c>
      <c r="L502" s="14">
        <f ca="1">TRUNC((TODAY()-TabelaBase[[#This Row],[Data Nascimento]])/365)</f>
        <v>32</v>
      </c>
      <c r="M502" s="14" t="str">
        <f ca="1">HLOOKUP(TabelaBase[[#This Row],[Idade]],$O$3:$R$4,2,TRUE)</f>
        <v>24-34</v>
      </c>
    </row>
    <row r="503" spans="2:13" x14ac:dyDescent="0.3">
      <c r="B503" s="11">
        <v>53865937688</v>
      </c>
      <c r="C503" t="s">
        <v>50</v>
      </c>
      <c r="D503" t="s">
        <v>5</v>
      </c>
      <c r="E503" t="s">
        <v>7</v>
      </c>
      <c r="F503" t="s">
        <v>13</v>
      </c>
      <c r="G503" t="s">
        <v>426</v>
      </c>
      <c r="H503" s="1">
        <v>31691</v>
      </c>
      <c r="I503" s="1" t="s">
        <v>429</v>
      </c>
      <c r="J503" t="s">
        <v>447</v>
      </c>
      <c r="K503" s="12">
        <v>79.900000000000006</v>
      </c>
      <c r="L503" s="14">
        <f ca="1">TRUNC((TODAY()-TabelaBase[[#This Row],[Data Nascimento]])/365)</f>
        <v>39</v>
      </c>
      <c r="M503" s="14" t="str">
        <f ca="1">HLOOKUP(TabelaBase[[#This Row],[Idade]],$O$3:$R$4,2,TRUE)</f>
        <v>35 - 44</v>
      </c>
    </row>
    <row r="504" spans="2:13" x14ac:dyDescent="0.3">
      <c r="B504" s="11">
        <v>53921313520</v>
      </c>
      <c r="C504" t="s">
        <v>94</v>
      </c>
      <c r="D504" t="s">
        <v>6</v>
      </c>
      <c r="E504" t="s">
        <v>417</v>
      </c>
      <c r="F504" t="s">
        <v>427</v>
      </c>
      <c r="G504" t="s">
        <v>425</v>
      </c>
      <c r="H504" s="1">
        <v>30267</v>
      </c>
      <c r="I504" s="1" t="s">
        <v>431</v>
      </c>
      <c r="J504" t="s">
        <v>444</v>
      </c>
      <c r="K504" s="12">
        <v>29.9</v>
      </c>
      <c r="L504" s="14">
        <f ca="1">TRUNC((TODAY()-TabelaBase[[#This Row],[Data Nascimento]])/365)</f>
        <v>43</v>
      </c>
      <c r="M504" s="14" t="str">
        <f ca="1">HLOOKUP(TabelaBase[[#This Row],[Idade]],$O$3:$R$4,2,TRUE)</f>
        <v>35 - 44</v>
      </c>
    </row>
    <row r="505" spans="2:13" x14ac:dyDescent="0.3">
      <c r="B505" s="11">
        <v>53994694316</v>
      </c>
      <c r="C505" t="s">
        <v>193</v>
      </c>
      <c r="D505" t="s">
        <v>5</v>
      </c>
      <c r="E505" t="s">
        <v>7</v>
      </c>
      <c r="F505" t="s">
        <v>12</v>
      </c>
      <c r="G505" t="s">
        <v>424</v>
      </c>
      <c r="H505" s="1">
        <v>31146</v>
      </c>
      <c r="I505" s="1" t="s">
        <v>432</v>
      </c>
      <c r="J505" t="s">
        <v>445</v>
      </c>
      <c r="K505" s="12">
        <v>35.9</v>
      </c>
      <c r="L505" s="14">
        <f ca="1">TRUNC((TODAY()-TabelaBase[[#This Row],[Data Nascimento]])/365)</f>
        <v>40</v>
      </c>
      <c r="M505" s="14" t="str">
        <f ca="1">HLOOKUP(TabelaBase[[#This Row],[Idade]],$O$3:$R$4,2,TRUE)</f>
        <v>35 - 44</v>
      </c>
    </row>
    <row r="506" spans="2:13" x14ac:dyDescent="0.3">
      <c r="B506" s="11">
        <v>54171024069</v>
      </c>
      <c r="C506" t="s">
        <v>67</v>
      </c>
      <c r="D506" t="s">
        <v>6</v>
      </c>
      <c r="E506" t="s">
        <v>7</v>
      </c>
      <c r="F506" t="s">
        <v>12</v>
      </c>
      <c r="G506" t="s">
        <v>425</v>
      </c>
      <c r="H506" s="1">
        <v>26935</v>
      </c>
      <c r="I506" s="1" t="s">
        <v>434</v>
      </c>
      <c r="J506" t="s">
        <v>446</v>
      </c>
      <c r="K506" s="12">
        <v>9.9</v>
      </c>
      <c r="L506" s="14">
        <f ca="1">TRUNC((TODAY()-TabelaBase[[#This Row],[Data Nascimento]])/365)</f>
        <v>52</v>
      </c>
      <c r="M506" s="14" t="str">
        <f ca="1">HLOOKUP(TabelaBase[[#This Row],[Idade]],$O$3:$R$4,2,TRUE)</f>
        <v>44 - 54</v>
      </c>
    </row>
    <row r="507" spans="2:13" x14ac:dyDescent="0.3">
      <c r="B507" s="11">
        <v>54198810657</v>
      </c>
      <c r="C507" t="s">
        <v>387</v>
      </c>
      <c r="D507" t="s">
        <v>6</v>
      </c>
      <c r="E507" t="s">
        <v>7</v>
      </c>
      <c r="F507" t="s">
        <v>9</v>
      </c>
      <c r="G507" t="s">
        <v>425</v>
      </c>
      <c r="H507" s="1">
        <v>34828</v>
      </c>
      <c r="I507" s="1" t="s">
        <v>430</v>
      </c>
      <c r="J507" t="s">
        <v>446</v>
      </c>
      <c r="K507" s="12">
        <v>9.9</v>
      </c>
      <c r="L507" s="14">
        <f ca="1">TRUNC((TODAY()-TabelaBase[[#This Row],[Data Nascimento]])/365)</f>
        <v>30</v>
      </c>
      <c r="M507" s="14" t="str">
        <f ca="1">HLOOKUP(TabelaBase[[#This Row],[Idade]],$O$3:$R$4,2,TRUE)</f>
        <v>24-34</v>
      </c>
    </row>
    <row r="508" spans="2:13" x14ac:dyDescent="0.3">
      <c r="B508" s="11">
        <v>54217073384</v>
      </c>
      <c r="C508" t="s">
        <v>58</v>
      </c>
      <c r="D508" t="s">
        <v>5</v>
      </c>
      <c r="E508" t="s">
        <v>417</v>
      </c>
      <c r="F508" t="s">
        <v>14</v>
      </c>
      <c r="G508" t="s">
        <v>426</v>
      </c>
      <c r="H508" s="1">
        <v>24976</v>
      </c>
      <c r="I508" s="1" t="s">
        <v>435</v>
      </c>
      <c r="J508" t="s">
        <v>444</v>
      </c>
      <c r="K508" s="12">
        <v>29.9</v>
      </c>
      <c r="L508" s="14">
        <f ca="1">TRUNC((TODAY()-TabelaBase[[#This Row],[Data Nascimento]])/365)</f>
        <v>57</v>
      </c>
      <c r="M508" s="14" t="str">
        <f ca="1">HLOOKUP(TabelaBase[[#This Row],[Idade]],$O$3:$R$4,2,TRUE)</f>
        <v>54-70</v>
      </c>
    </row>
    <row r="509" spans="2:13" x14ac:dyDescent="0.3">
      <c r="B509" s="11">
        <v>54339224143</v>
      </c>
      <c r="C509" t="s">
        <v>382</v>
      </c>
      <c r="D509" t="s">
        <v>5</v>
      </c>
      <c r="E509" t="s">
        <v>8</v>
      </c>
      <c r="F509" t="s">
        <v>427</v>
      </c>
      <c r="G509" t="s">
        <v>424</v>
      </c>
      <c r="H509" s="1">
        <v>22554</v>
      </c>
      <c r="I509" s="1" t="s">
        <v>436</v>
      </c>
      <c r="J509" t="s">
        <v>444</v>
      </c>
      <c r="K509" s="12">
        <v>29.9</v>
      </c>
      <c r="L509" s="14">
        <f ca="1">TRUNC((TODAY()-TabelaBase[[#This Row],[Data Nascimento]])/365)</f>
        <v>64</v>
      </c>
      <c r="M509" s="14" t="str">
        <f ca="1">HLOOKUP(TabelaBase[[#This Row],[Idade]],$O$3:$R$4,2,TRUE)</f>
        <v>54-70</v>
      </c>
    </row>
    <row r="510" spans="2:13" x14ac:dyDescent="0.3">
      <c r="B510" s="11">
        <v>54411067391</v>
      </c>
      <c r="C510" t="s">
        <v>32</v>
      </c>
      <c r="D510" t="s">
        <v>5</v>
      </c>
      <c r="E510" t="s">
        <v>8</v>
      </c>
      <c r="F510" t="s">
        <v>13</v>
      </c>
      <c r="G510" t="s">
        <v>425</v>
      </c>
      <c r="H510" s="1">
        <v>31057</v>
      </c>
      <c r="I510" s="1" t="s">
        <v>430</v>
      </c>
      <c r="J510" t="s">
        <v>444</v>
      </c>
      <c r="K510" s="12">
        <v>29.9</v>
      </c>
      <c r="L510" s="14">
        <f ca="1">TRUNC((TODAY()-TabelaBase[[#This Row],[Data Nascimento]])/365)</f>
        <v>41</v>
      </c>
      <c r="M510" s="14" t="str">
        <f ca="1">HLOOKUP(TabelaBase[[#This Row],[Idade]],$O$3:$R$4,2,TRUE)</f>
        <v>35 - 44</v>
      </c>
    </row>
    <row r="511" spans="2:13" x14ac:dyDescent="0.3">
      <c r="B511" s="11">
        <v>54476634976</v>
      </c>
      <c r="C511" t="s">
        <v>183</v>
      </c>
      <c r="D511" t="s">
        <v>5</v>
      </c>
      <c r="E511" t="s">
        <v>7</v>
      </c>
      <c r="F511" t="s">
        <v>9</v>
      </c>
      <c r="G511" t="s">
        <v>424</v>
      </c>
      <c r="H511" s="1">
        <v>30335</v>
      </c>
      <c r="I511" s="1" t="s">
        <v>435</v>
      </c>
      <c r="J511" t="s">
        <v>444</v>
      </c>
      <c r="K511" s="12">
        <v>29.9</v>
      </c>
      <c r="L511" s="14">
        <f ca="1">TRUNC((TODAY()-TabelaBase[[#This Row],[Data Nascimento]])/365)</f>
        <v>43</v>
      </c>
      <c r="M511" s="14" t="str">
        <f ca="1">HLOOKUP(TabelaBase[[#This Row],[Idade]],$O$3:$R$4,2,TRUE)</f>
        <v>35 - 44</v>
      </c>
    </row>
    <row r="512" spans="2:13" x14ac:dyDescent="0.3">
      <c r="B512" s="11">
        <v>54506367236</v>
      </c>
      <c r="C512" t="s">
        <v>108</v>
      </c>
      <c r="D512" t="s">
        <v>6</v>
      </c>
      <c r="E512" t="s">
        <v>416</v>
      </c>
      <c r="F512" t="s">
        <v>13</v>
      </c>
      <c r="G512" t="s">
        <v>425</v>
      </c>
      <c r="H512" s="1">
        <v>23634</v>
      </c>
      <c r="I512" s="1" t="s">
        <v>436</v>
      </c>
      <c r="J512" t="s">
        <v>446</v>
      </c>
      <c r="K512" s="12">
        <v>9.9</v>
      </c>
      <c r="L512" s="14">
        <f ca="1">TRUNC((TODAY()-TabelaBase[[#This Row],[Data Nascimento]])/365)</f>
        <v>61</v>
      </c>
      <c r="M512" s="14" t="str">
        <f ca="1">HLOOKUP(TabelaBase[[#This Row],[Idade]],$O$3:$R$4,2,TRUE)</f>
        <v>54-70</v>
      </c>
    </row>
    <row r="513" spans="2:13" x14ac:dyDescent="0.3">
      <c r="B513" s="11">
        <v>54526384776</v>
      </c>
      <c r="C513" t="s">
        <v>280</v>
      </c>
      <c r="D513" t="s">
        <v>6</v>
      </c>
      <c r="E513" t="s">
        <v>7</v>
      </c>
      <c r="F513" t="s">
        <v>14</v>
      </c>
      <c r="G513" t="s">
        <v>426</v>
      </c>
      <c r="H513" s="1">
        <v>29970</v>
      </c>
      <c r="I513" s="1" t="s">
        <v>433</v>
      </c>
      <c r="J513" t="s">
        <v>446</v>
      </c>
      <c r="K513" s="12">
        <v>9.9</v>
      </c>
      <c r="L513" s="14">
        <f ca="1">TRUNC((TODAY()-TabelaBase[[#This Row],[Data Nascimento]])/365)</f>
        <v>44</v>
      </c>
      <c r="M513" s="14" t="str">
        <f ca="1">HLOOKUP(TabelaBase[[#This Row],[Idade]],$O$3:$R$4,2,TRUE)</f>
        <v>44 - 54</v>
      </c>
    </row>
    <row r="514" spans="2:13" x14ac:dyDescent="0.3">
      <c r="B514" s="11">
        <v>54711975966</v>
      </c>
      <c r="C514" t="s">
        <v>274</v>
      </c>
      <c r="D514" t="s">
        <v>6</v>
      </c>
      <c r="E514" t="s">
        <v>417</v>
      </c>
      <c r="F514" t="s">
        <v>14</v>
      </c>
      <c r="G514" t="s">
        <v>425</v>
      </c>
      <c r="H514" s="1">
        <v>29826</v>
      </c>
      <c r="I514" s="1" t="s">
        <v>433</v>
      </c>
      <c r="J514" t="s">
        <v>444</v>
      </c>
      <c r="K514" s="12">
        <v>29.9</v>
      </c>
      <c r="L514" s="14">
        <f ca="1">TRUNC((TODAY()-TabelaBase[[#This Row],[Data Nascimento]])/365)</f>
        <v>44</v>
      </c>
      <c r="M514" s="14" t="str">
        <f ca="1">HLOOKUP(TabelaBase[[#This Row],[Idade]],$O$3:$R$4,2,TRUE)</f>
        <v>44 - 54</v>
      </c>
    </row>
    <row r="515" spans="2:13" x14ac:dyDescent="0.3">
      <c r="B515" s="11">
        <v>54742058650</v>
      </c>
      <c r="C515" t="s">
        <v>59</v>
      </c>
      <c r="D515" t="s">
        <v>6</v>
      </c>
      <c r="E515" t="s">
        <v>8</v>
      </c>
      <c r="F515" t="s">
        <v>13</v>
      </c>
      <c r="G515" t="s">
        <v>426</v>
      </c>
      <c r="H515" s="1">
        <v>25846</v>
      </c>
      <c r="I515" s="1" t="s">
        <v>433</v>
      </c>
      <c r="J515" t="s">
        <v>444</v>
      </c>
      <c r="K515" s="12">
        <v>29.9</v>
      </c>
      <c r="L515" s="14">
        <f ca="1">TRUNC((TODAY()-TabelaBase[[#This Row],[Data Nascimento]])/365)</f>
        <v>55</v>
      </c>
      <c r="M515" s="14" t="str">
        <f ca="1">HLOOKUP(TabelaBase[[#This Row],[Idade]],$O$3:$R$4,2,TRUE)</f>
        <v>54-70</v>
      </c>
    </row>
    <row r="516" spans="2:13" x14ac:dyDescent="0.3">
      <c r="B516" s="11">
        <v>54783687741</v>
      </c>
      <c r="C516" t="s">
        <v>37</v>
      </c>
      <c r="D516" t="s">
        <v>6</v>
      </c>
      <c r="E516" t="s">
        <v>7</v>
      </c>
      <c r="F516" t="s">
        <v>427</v>
      </c>
      <c r="G516" t="s">
        <v>425</v>
      </c>
      <c r="H516" s="1">
        <v>32444</v>
      </c>
      <c r="I516" s="1" t="s">
        <v>433</v>
      </c>
      <c r="J516" t="s">
        <v>445</v>
      </c>
      <c r="K516" s="12">
        <v>35.9</v>
      </c>
      <c r="L516" s="14">
        <f ca="1">TRUNC((TODAY()-TabelaBase[[#This Row],[Data Nascimento]])/365)</f>
        <v>37</v>
      </c>
      <c r="M516" s="14" t="str">
        <f ca="1">HLOOKUP(TabelaBase[[#This Row],[Idade]],$O$3:$R$4,2,TRUE)</f>
        <v>35 - 44</v>
      </c>
    </row>
    <row r="517" spans="2:13" x14ac:dyDescent="0.3">
      <c r="B517" s="11">
        <v>54799023278</v>
      </c>
      <c r="C517" t="s">
        <v>368</v>
      </c>
      <c r="D517" t="s">
        <v>5</v>
      </c>
      <c r="E517" t="s">
        <v>416</v>
      </c>
      <c r="F517" t="s">
        <v>13</v>
      </c>
      <c r="G517" t="s">
        <v>425</v>
      </c>
      <c r="H517" s="1">
        <v>24833</v>
      </c>
      <c r="I517" s="1" t="s">
        <v>433</v>
      </c>
      <c r="J517" t="s">
        <v>444</v>
      </c>
      <c r="K517" s="12">
        <v>29.9</v>
      </c>
      <c r="L517" s="14">
        <f ca="1">TRUNC((TODAY()-TabelaBase[[#This Row],[Data Nascimento]])/365)</f>
        <v>58</v>
      </c>
      <c r="M517" s="14" t="str">
        <f ca="1">HLOOKUP(TabelaBase[[#This Row],[Idade]],$O$3:$R$4,2,TRUE)</f>
        <v>54-70</v>
      </c>
    </row>
    <row r="518" spans="2:13" x14ac:dyDescent="0.3">
      <c r="B518" s="11">
        <v>54839142796</v>
      </c>
      <c r="C518" t="s">
        <v>186</v>
      </c>
      <c r="D518" t="s">
        <v>5</v>
      </c>
      <c r="E518" t="s">
        <v>417</v>
      </c>
      <c r="F518" t="s">
        <v>11</v>
      </c>
      <c r="G518" t="s">
        <v>426</v>
      </c>
      <c r="H518" s="1">
        <v>34807</v>
      </c>
      <c r="I518" s="1" t="s">
        <v>433</v>
      </c>
      <c r="J518" t="s">
        <v>447</v>
      </c>
      <c r="K518" s="12">
        <v>79.900000000000006</v>
      </c>
      <c r="L518" s="14">
        <f ca="1">TRUNC((TODAY()-TabelaBase[[#This Row],[Data Nascimento]])/365)</f>
        <v>30</v>
      </c>
      <c r="M518" s="14" t="str">
        <f ca="1">HLOOKUP(TabelaBase[[#This Row],[Idade]],$O$3:$R$4,2,TRUE)</f>
        <v>24-34</v>
      </c>
    </row>
    <row r="519" spans="2:13" x14ac:dyDescent="0.3">
      <c r="B519" s="11">
        <v>55064239822</v>
      </c>
      <c r="C519" t="s">
        <v>42</v>
      </c>
      <c r="D519" t="s">
        <v>5</v>
      </c>
      <c r="E519" t="s">
        <v>8</v>
      </c>
      <c r="F519" t="s">
        <v>11</v>
      </c>
      <c r="G519" t="s">
        <v>424</v>
      </c>
      <c r="H519" s="1">
        <v>20881</v>
      </c>
      <c r="I519" s="1" t="s">
        <v>433</v>
      </c>
      <c r="J519" t="s">
        <v>447</v>
      </c>
      <c r="K519" s="12">
        <v>79.900000000000006</v>
      </c>
      <c r="L519" s="14">
        <f ca="1">TRUNC((TODAY()-TabelaBase[[#This Row],[Data Nascimento]])/365)</f>
        <v>68</v>
      </c>
      <c r="M519" s="14" t="str">
        <f ca="1">HLOOKUP(TabelaBase[[#This Row],[Idade]],$O$3:$R$4,2,TRUE)</f>
        <v>54-70</v>
      </c>
    </row>
    <row r="520" spans="2:13" x14ac:dyDescent="0.3">
      <c r="B520" s="11">
        <v>55151517281</v>
      </c>
      <c r="C520" t="s">
        <v>222</v>
      </c>
      <c r="D520" t="s">
        <v>6</v>
      </c>
      <c r="E520" t="s">
        <v>8</v>
      </c>
      <c r="F520" t="s">
        <v>11</v>
      </c>
      <c r="G520" t="s">
        <v>424</v>
      </c>
      <c r="H520" s="1">
        <v>32628</v>
      </c>
      <c r="I520" s="1" t="s">
        <v>433</v>
      </c>
      <c r="J520" t="s">
        <v>447</v>
      </c>
      <c r="K520" s="12">
        <v>79.900000000000006</v>
      </c>
      <c r="L520" s="14">
        <f ca="1">TRUNC((TODAY()-TabelaBase[[#This Row],[Data Nascimento]])/365)</f>
        <v>36</v>
      </c>
      <c r="M520" s="14" t="str">
        <f ca="1">HLOOKUP(TabelaBase[[#This Row],[Idade]],$O$3:$R$4,2,TRUE)</f>
        <v>35 - 44</v>
      </c>
    </row>
    <row r="521" spans="2:13" x14ac:dyDescent="0.3">
      <c r="B521" s="11">
        <v>55201624465</v>
      </c>
      <c r="C521" t="s">
        <v>232</v>
      </c>
      <c r="D521" t="s">
        <v>5</v>
      </c>
      <c r="E521" t="s">
        <v>8</v>
      </c>
      <c r="F521" t="s">
        <v>14</v>
      </c>
      <c r="G521" t="s">
        <v>425</v>
      </c>
      <c r="H521" s="1">
        <v>26303</v>
      </c>
      <c r="I521" s="1" t="s">
        <v>433</v>
      </c>
      <c r="J521" t="s">
        <v>446</v>
      </c>
      <c r="K521" s="12">
        <v>9.9</v>
      </c>
      <c r="L521" s="14">
        <f ca="1">TRUNC((TODAY()-TabelaBase[[#This Row],[Data Nascimento]])/365)</f>
        <v>54</v>
      </c>
      <c r="M521" s="14" t="str">
        <f ca="1">HLOOKUP(TabelaBase[[#This Row],[Idade]],$O$3:$R$4,2,TRUE)</f>
        <v>54-70</v>
      </c>
    </row>
    <row r="522" spans="2:13" x14ac:dyDescent="0.3">
      <c r="B522" s="11">
        <v>55228283525</v>
      </c>
      <c r="C522" t="s">
        <v>312</v>
      </c>
      <c r="D522" t="s">
        <v>6</v>
      </c>
      <c r="E522" t="s">
        <v>8</v>
      </c>
      <c r="F522" t="s">
        <v>13</v>
      </c>
      <c r="G522" t="s">
        <v>425</v>
      </c>
      <c r="H522" s="1">
        <v>25954</v>
      </c>
      <c r="I522" s="1" t="s">
        <v>429</v>
      </c>
      <c r="J522" t="s">
        <v>445</v>
      </c>
      <c r="K522" s="12">
        <v>35.9</v>
      </c>
      <c r="L522" s="14">
        <f ca="1">TRUNC((TODAY()-TabelaBase[[#This Row],[Data Nascimento]])/365)</f>
        <v>55</v>
      </c>
      <c r="M522" s="14" t="str">
        <f ca="1">HLOOKUP(TabelaBase[[#This Row],[Idade]],$O$3:$R$4,2,TRUE)</f>
        <v>54-70</v>
      </c>
    </row>
    <row r="523" spans="2:13" x14ac:dyDescent="0.3">
      <c r="B523" s="11">
        <v>55332904919</v>
      </c>
      <c r="C523" t="s">
        <v>319</v>
      </c>
      <c r="D523" t="s">
        <v>5</v>
      </c>
      <c r="E523" t="s">
        <v>8</v>
      </c>
      <c r="F523" t="s">
        <v>12</v>
      </c>
      <c r="G523" t="s">
        <v>425</v>
      </c>
      <c r="H523" s="1">
        <v>28441</v>
      </c>
      <c r="I523" s="1" t="s">
        <v>432</v>
      </c>
      <c r="J523" t="s">
        <v>447</v>
      </c>
      <c r="K523" s="12">
        <v>79.900000000000006</v>
      </c>
      <c r="L523" s="14">
        <f ca="1">TRUNC((TODAY()-TabelaBase[[#This Row],[Data Nascimento]])/365)</f>
        <v>48</v>
      </c>
      <c r="M523" s="14" t="str">
        <f ca="1">HLOOKUP(TabelaBase[[#This Row],[Idade]],$O$3:$R$4,2,TRUE)</f>
        <v>44 - 54</v>
      </c>
    </row>
    <row r="524" spans="2:13" x14ac:dyDescent="0.3">
      <c r="B524" s="11">
        <v>55350189669</v>
      </c>
      <c r="C524" t="s">
        <v>323</v>
      </c>
      <c r="D524" t="s">
        <v>6</v>
      </c>
      <c r="E524" t="s">
        <v>7</v>
      </c>
      <c r="F524" t="s">
        <v>13</v>
      </c>
      <c r="G524" t="s">
        <v>424</v>
      </c>
      <c r="H524" s="1">
        <v>21023</v>
      </c>
      <c r="I524" s="1" t="s">
        <v>436</v>
      </c>
      <c r="J524" t="s">
        <v>444</v>
      </c>
      <c r="K524" s="12">
        <v>29.9</v>
      </c>
      <c r="L524" s="14">
        <f ca="1">TRUNC((TODAY()-TabelaBase[[#This Row],[Data Nascimento]])/365)</f>
        <v>68</v>
      </c>
      <c r="M524" s="14" t="str">
        <f ca="1">HLOOKUP(TabelaBase[[#This Row],[Idade]],$O$3:$R$4,2,TRUE)</f>
        <v>54-70</v>
      </c>
    </row>
    <row r="525" spans="2:13" x14ac:dyDescent="0.3">
      <c r="B525" s="11">
        <v>55359798830</v>
      </c>
      <c r="C525" t="s">
        <v>401</v>
      </c>
      <c r="D525" t="s">
        <v>6</v>
      </c>
      <c r="E525" t="s">
        <v>417</v>
      </c>
      <c r="F525" t="s">
        <v>427</v>
      </c>
      <c r="G525" t="s">
        <v>425</v>
      </c>
      <c r="H525" s="1">
        <v>29770</v>
      </c>
      <c r="I525" s="1" t="s">
        <v>436</v>
      </c>
      <c r="J525" t="s">
        <v>445</v>
      </c>
      <c r="K525" s="12">
        <v>35.9</v>
      </c>
      <c r="L525" s="14">
        <f ca="1">TRUNC((TODAY()-TabelaBase[[#This Row],[Data Nascimento]])/365)</f>
        <v>44</v>
      </c>
      <c r="M525" s="14" t="str">
        <f ca="1">HLOOKUP(TabelaBase[[#This Row],[Idade]],$O$3:$R$4,2,TRUE)</f>
        <v>44 - 54</v>
      </c>
    </row>
    <row r="526" spans="2:13" x14ac:dyDescent="0.3">
      <c r="B526" s="11">
        <v>55370247974</v>
      </c>
      <c r="C526" t="s">
        <v>276</v>
      </c>
      <c r="D526" t="s">
        <v>6</v>
      </c>
      <c r="E526" t="s">
        <v>7</v>
      </c>
      <c r="F526" t="s">
        <v>13</v>
      </c>
      <c r="G526" t="s">
        <v>426</v>
      </c>
      <c r="H526" s="1">
        <v>22051</v>
      </c>
      <c r="I526" s="1" t="s">
        <v>436</v>
      </c>
      <c r="J526" t="s">
        <v>446</v>
      </c>
      <c r="K526" s="12">
        <v>9.9</v>
      </c>
      <c r="L526" s="14">
        <f ca="1">TRUNC((TODAY()-TabelaBase[[#This Row],[Data Nascimento]])/365)</f>
        <v>65</v>
      </c>
      <c r="M526" s="14" t="str">
        <f ca="1">HLOOKUP(TabelaBase[[#This Row],[Idade]],$O$3:$R$4,2,TRUE)</f>
        <v>54-70</v>
      </c>
    </row>
    <row r="527" spans="2:13" x14ac:dyDescent="0.3">
      <c r="B527" s="11">
        <v>55400526908</v>
      </c>
      <c r="C527" t="s">
        <v>68</v>
      </c>
      <c r="D527" t="s">
        <v>5</v>
      </c>
      <c r="E527" t="s">
        <v>416</v>
      </c>
      <c r="F527" t="s">
        <v>13</v>
      </c>
      <c r="G527" t="s">
        <v>425</v>
      </c>
      <c r="H527" s="1">
        <v>31753</v>
      </c>
      <c r="I527" s="1" t="s">
        <v>436</v>
      </c>
      <c r="J527" t="s">
        <v>446</v>
      </c>
      <c r="K527" s="12">
        <v>9.9</v>
      </c>
      <c r="L527" s="14">
        <f ca="1">TRUNC((TODAY()-TabelaBase[[#This Row],[Data Nascimento]])/365)</f>
        <v>39</v>
      </c>
      <c r="M527" s="14" t="str">
        <f ca="1">HLOOKUP(TabelaBase[[#This Row],[Idade]],$O$3:$R$4,2,TRUE)</f>
        <v>35 - 44</v>
      </c>
    </row>
    <row r="528" spans="2:13" x14ac:dyDescent="0.3">
      <c r="B528" s="11">
        <v>55453919588</v>
      </c>
      <c r="C528" t="s">
        <v>388</v>
      </c>
      <c r="D528" t="s">
        <v>5</v>
      </c>
      <c r="E528" t="s">
        <v>416</v>
      </c>
      <c r="F528" t="s">
        <v>14</v>
      </c>
      <c r="G528" t="s">
        <v>425</v>
      </c>
      <c r="H528" s="1">
        <v>26625</v>
      </c>
      <c r="I528" s="1" t="s">
        <v>436</v>
      </c>
      <c r="J528" t="s">
        <v>444</v>
      </c>
      <c r="K528" s="12">
        <v>29.9</v>
      </c>
      <c r="L528" s="14">
        <f ca="1">TRUNC((TODAY()-TabelaBase[[#This Row],[Data Nascimento]])/365)</f>
        <v>53</v>
      </c>
      <c r="M528" s="14" t="str">
        <f ca="1">HLOOKUP(TabelaBase[[#This Row],[Idade]],$O$3:$R$4,2,TRUE)</f>
        <v>44 - 54</v>
      </c>
    </row>
    <row r="529" spans="2:13" x14ac:dyDescent="0.3">
      <c r="B529" s="11">
        <v>55499979478</v>
      </c>
      <c r="C529" t="s">
        <v>59</v>
      </c>
      <c r="D529" t="s">
        <v>6</v>
      </c>
      <c r="E529" t="s">
        <v>8</v>
      </c>
      <c r="F529" t="s">
        <v>13</v>
      </c>
      <c r="G529" t="s">
        <v>426</v>
      </c>
      <c r="H529" s="1">
        <v>26185</v>
      </c>
      <c r="I529" s="1" t="s">
        <v>436</v>
      </c>
      <c r="J529" t="s">
        <v>444</v>
      </c>
      <c r="K529" s="12">
        <v>29.9</v>
      </c>
      <c r="L529" s="14">
        <f ca="1">TRUNC((TODAY()-TabelaBase[[#This Row],[Data Nascimento]])/365)</f>
        <v>54</v>
      </c>
      <c r="M529" s="14" t="str">
        <f ca="1">HLOOKUP(TabelaBase[[#This Row],[Idade]],$O$3:$R$4,2,TRUE)</f>
        <v>54-70</v>
      </c>
    </row>
    <row r="530" spans="2:13" x14ac:dyDescent="0.3">
      <c r="B530" s="11">
        <v>55539019573</v>
      </c>
      <c r="C530" t="s">
        <v>150</v>
      </c>
      <c r="D530" t="s">
        <v>6</v>
      </c>
      <c r="E530" t="s">
        <v>7</v>
      </c>
      <c r="F530" t="s">
        <v>11</v>
      </c>
      <c r="G530" t="s">
        <v>426</v>
      </c>
      <c r="H530" s="1">
        <v>32419</v>
      </c>
      <c r="I530" s="1" t="s">
        <v>435</v>
      </c>
      <c r="J530" t="s">
        <v>447</v>
      </c>
      <c r="K530" s="12">
        <v>79.900000000000006</v>
      </c>
      <c r="L530" s="14">
        <f ca="1">TRUNC((TODAY()-TabelaBase[[#This Row],[Data Nascimento]])/365)</f>
        <v>37</v>
      </c>
      <c r="M530" s="14" t="str">
        <f ca="1">HLOOKUP(TabelaBase[[#This Row],[Idade]],$O$3:$R$4,2,TRUE)</f>
        <v>35 - 44</v>
      </c>
    </row>
    <row r="531" spans="2:13" x14ac:dyDescent="0.3">
      <c r="B531" s="11">
        <v>55899436458</v>
      </c>
      <c r="C531" t="s">
        <v>122</v>
      </c>
      <c r="D531" t="s">
        <v>6</v>
      </c>
      <c r="E531" t="s">
        <v>418</v>
      </c>
      <c r="F531" t="s">
        <v>13</v>
      </c>
      <c r="G531" t="s">
        <v>424</v>
      </c>
      <c r="H531" s="1">
        <v>24409</v>
      </c>
      <c r="I531" s="1" t="s">
        <v>433</v>
      </c>
      <c r="J531" t="s">
        <v>447</v>
      </c>
      <c r="K531" s="12">
        <v>79.900000000000006</v>
      </c>
      <c r="L531" s="14">
        <f ca="1">TRUNC((TODAY()-TabelaBase[[#This Row],[Data Nascimento]])/365)</f>
        <v>59</v>
      </c>
      <c r="M531" s="14" t="str">
        <f ca="1">HLOOKUP(TabelaBase[[#This Row],[Idade]],$O$3:$R$4,2,TRUE)</f>
        <v>54-70</v>
      </c>
    </row>
    <row r="532" spans="2:13" x14ac:dyDescent="0.3">
      <c r="B532" s="11">
        <v>56102669696</v>
      </c>
      <c r="C532" t="s">
        <v>251</v>
      </c>
      <c r="D532" t="s">
        <v>5</v>
      </c>
      <c r="E532" t="s">
        <v>416</v>
      </c>
      <c r="F532" t="s">
        <v>13</v>
      </c>
      <c r="G532" t="s">
        <v>424</v>
      </c>
      <c r="H532" s="1">
        <v>28523</v>
      </c>
      <c r="I532" s="1" t="s">
        <v>433</v>
      </c>
      <c r="J532" t="s">
        <v>444</v>
      </c>
      <c r="K532" s="12">
        <v>29.9</v>
      </c>
      <c r="L532" s="14">
        <f ca="1">TRUNC((TODAY()-TabelaBase[[#This Row],[Data Nascimento]])/365)</f>
        <v>47</v>
      </c>
      <c r="M532" s="14" t="str">
        <f ca="1">HLOOKUP(TabelaBase[[#This Row],[Idade]],$O$3:$R$4,2,TRUE)</f>
        <v>44 - 54</v>
      </c>
    </row>
    <row r="533" spans="2:13" x14ac:dyDescent="0.3">
      <c r="B533" s="11">
        <v>56111428025</v>
      </c>
      <c r="C533" t="s">
        <v>247</v>
      </c>
      <c r="D533" t="s">
        <v>6</v>
      </c>
      <c r="E533" t="s">
        <v>7</v>
      </c>
      <c r="F533" t="s">
        <v>12</v>
      </c>
      <c r="G533" t="s">
        <v>425</v>
      </c>
      <c r="H533" s="1">
        <v>32545</v>
      </c>
      <c r="I533" s="1" t="s">
        <v>433</v>
      </c>
      <c r="J533" t="s">
        <v>447</v>
      </c>
      <c r="K533" s="12">
        <v>79.900000000000006</v>
      </c>
      <c r="L533" s="14">
        <f ca="1">TRUNC((TODAY()-TabelaBase[[#This Row],[Data Nascimento]])/365)</f>
        <v>36</v>
      </c>
      <c r="M533" s="14" t="str">
        <f ca="1">HLOOKUP(TabelaBase[[#This Row],[Idade]],$O$3:$R$4,2,TRUE)</f>
        <v>35 - 44</v>
      </c>
    </row>
    <row r="534" spans="2:13" x14ac:dyDescent="0.3">
      <c r="B534" s="11">
        <v>56167280623</v>
      </c>
      <c r="C534" t="s">
        <v>336</v>
      </c>
      <c r="D534" t="s">
        <v>6</v>
      </c>
      <c r="E534" t="s">
        <v>418</v>
      </c>
      <c r="F534" t="s">
        <v>13</v>
      </c>
      <c r="G534" t="s">
        <v>426</v>
      </c>
      <c r="H534" s="1">
        <v>34079</v>
      </c>
      <c r="I534" s="1" t="s">
        <v>433</v>
      </c>
      <c r="J534" t="s">
        <v>445</v>
      </c>
      <c r="K534" s="12">
        <v>35.9</v>
      </c>
      <c r="L534" s="14">
        <f ca="1">TRUNC((TODAY()-TabelaBase[[#This Row],[Data Nascimento]])/365)</f>
        <v>32</v>
      </c>
      <c r="M534" s="14" t="str">
        <f ca="1">HLOOKUP(TabelaBase[[#This Row],[Idade]],$O$3:$R$4,2,TRUE)</f>
        <v>24-34</v>
      </c>
    </row>
    <row r="535" spans="2:13" x14ac:dyDescent="0.3">
      <c r="B535" s="11">
        <v>56213600806</v>
      </c>
      <c r="C535" t="s">
        <v>250</v>
      </c>
      <c r="D535" t="s">
        <v>6</v>
      </c>
      <c r="E535" t="s">
        <v>7</v>
      </c>
      <c r="F535" t="s">
        <v>14</v>
      </c>
      <c r="G535" t="s">
        <v>426</v>
      </c>
      <c r="H535" s="1">
        <v>29235</v>
      </c>
      <c r="I535" s="1" t="s">
        <v>433</v>
      </c>
      <c r="J535" t="s">
        <v>444</v>
      </c>
      <c r="K535" s="12">
        <v>29.9</v>
      </c>
      <c r="L535" s="14">
        <f ca="1">TRUNC((TODAY()-TabelaBase[[#This Row],[Data Nascimento]])/365)</f>
        <v>46</v>
      </c>
      <c r="M535" s="14" t="str">
        <f ca="1">HLOOKUP(TabelaBase[[#This Row],[Idade]],$O$3:$R$4,2,TRUE)</f>
        <v>44 - 54</v>
      </c>
    </row>
    <row r="536" spans="2:13" x14ac:dyDescent="0.3">
      <c r="B536" s="11">
        <v>56688702646</v>
      </c>
      <c r="C536" t="s">
        <v>30</v>
      </c>
      <c r="D536" t="s">
        <v>5</v>
      </c>
      <c r="E536" t="s">
        <v>418</v>
      </c>
      <c r="F536" t="s">
        <v>11</v>
      </c>
      <c r="G536" t="s">
        <v>426</v>
      </c>
      <c r="H536" s="1">
        <v>23383</v>
      </c>
      <c r="I536" s="1" t="s">
        <v>430</v>
      </c>
      <c r="J536" t="s">
        <v>447</v>
      </c>
      <c r="K536" s="12">
        <v>79.900000000000006</v>
      </c>
      <c r="L536" s="14">
        <f ca="1">TRUNC((TODAY()-TabelaBase[[#This Row],[Data Nascimento]])/365)</f>
        <v>62</v>
      </c>
      <c r="M536" s="14" t="str">
        <f ca="1">HLOOKUP(TabelaBase[[#This Row],[Idade]],$O$3:$R$4,2,TRUE)</f>
        <v>54-70</v>
      </c>
    </row>
    <row r="537" spans="2:13" x14ac:dyDescent="0.3">
      <c r="B537" s="11">
        <v>56991862790</v>
      </c>
      <c r="C537" t="s">
        <v>308</v>
      </c>
      <c r="D537" t="s">
        <v>6</v>
      </c>
      <c r="E537" t="s">
        <v>416</v>
      </c>
      <c r="F537" t="s">
        <v>13</v>
      </c>
      <c r="G537" t="s">
        <v>425</v>
      </c>
      <c r="H537" s="1">
        <v>32088</v>
      </c>
      <c r="I537" s="1" t="s">
        <v>429</v>
      </c>
      <c r="J537" t="s">
        <v>446</v>
      </c>
      <c r="K537" s="12">
        <v>9.9</v>
      </c>
      <c r="L537" s="14">
        <f ca="1">TRUNC((TODAY()-TabelaBase[[#This Row],[Data Nascimento]])/365)</f>
        <v>38</v>
      </c>
      <c r="M537" s="14" t="str">
        <f ca="1">HLOOKUP(TabelaBase[[#This Row],[Idade]],$O$3:$R$4,2,TRUE)</f>
        <v>35 - 44</v>
      </c>
    </row>
    <row r="538" spans="2:13" x14ac:dyDescent="0.3">
      <c r="B538" s="11">
        <v>57093446389</v>
      </c>
      <c r="C538" t="s">
        <v>351</v>
      </c>
      <c r="D538" t="s">
        <v>5</v>
      </c>
      <c r="E538" t="s">
        <v>417</v>
      </c>
      <c r="F538" t="s">
        <v>9</v>
      </c>
      <c r="G538" t="s">
        <v>424</v>
      </c>
      <c r="H538" s="1">
        <v>29291</v>
      </c>
      <c r="I538" s="1" t="s">
        <v>431</v>
      </c>
      <c r="J538" t="s">
        <v>446</v>
      </c>
      <c r="K538" s="12">
        <v>9.9</v>
      </c>
      <c r="L538" s="14">
        <f ca="1">TRUNC((TODAY()-TabelaBase[[#This Row],[Data Nascimento]])/365)</f>
        <v>45</v>
      </c>
      <c r="M538" s="14" t="str">
        <f ca="1">HLOOKUP(TabelaBase[[#This Row],[Idade]],$O$3:$R$4,2,TRUE)</f>
        <v>44 - 54</v>
      </c>
    </row>
    <row r="539" spans="2:13" x14ac:dyDescent="0.3">
      <c r="B539" s="11">
        <v>57248670590</v>
      </c>
      <c r="C539" t="s">
        <v>163</v>
      </c>
      <c r="D539" t="s">
        <v>5</v>
      </c>
      <c r="E539" t="s">
        <v>7</v>
      </c>
      <c r="F539" t="s">
        <v>12</v>
      </c>
      <c r="G539" t="s">
        <v>424</v>
      </c>
      <c r="H539" s="1">
        <v>28258</v>
      </c>
      <c r="I539" s="1" t="s">
        <v>432</v>
      </c>
      <c r="J539" t="s">
        <v>446</v>
      </c>
      <c r="K539" s="12">
        <v>9.9</v>
      </c>
      <c r="L539" s="14">
        <f ca="1">TRUNC((TODAY()-TabelaBase[[#This Row],[Data Nascimento]])/365)</f>
        <v>48</v>
      </c>
      <c r="M539" s="14" t="str">
        <f ca="1">HLOOKUP(TabelaBase[[#This Row],[Idade]],$O$3:$R$4,2,TRUE)</f>
        <v>44 - 54</v>
      </c>
    </row>
    <row r="540" spans="2:13" x14ac:dyDescent="0.3">
      <c r="B540" s="11">
        <v>57304884506</v>
      </c>
      <c r="C540" t="s">
        <v>33</v>
      </c>
      <c r="D540" t="s">
        <v>6</v>
      </c>
      <c r="E540" t="s">
        <v>7</v>
      </c>
      <c r="F540" t="s">
        <v>427</v>
      </c>
      <c r="G540" t="s">
        <v>424</v>
      </c>
      <c r="H540" s="1">
        <v>26161</v>
      </c>
      <c r="I540" s="1" t="s">
        <v>434</v>
      </c>
      <c r="J540" t="s">
        <v>446</v>
      </c>
      <c r="K540" s="12">
        <v>9.9</v>
      </c>
      <c r="L540" s="14">
        <f ca="1">TRUNC((TODAY()-TabelaBase[[#This Row],[Data Nascimento]])/365)</f>
        <v>54</v>
      </c>
      <c r="M540" s="14" t="str">
        <f ca="1">HLOOKUP(TabelaBase[[#This Row],[Idade]],$O$3:$R$4,2,TRUE)</f>
        <v>54-70</v>
      </c>
    </row>
    <row r="541" spans="2:13" x14ac:dyDescent="0.3">
      <c r="B541" s="11">
        <v>57327520985</v>
      </c>
      <c r="C541" t="s">
        <v>21</v>
      </c>
      <c r="D541" t="s">
        <v>6</v>
      </c>
      <c r="E541" t="s">
        <v>417</v>
      </c>
      <c r="F541" t="s">
        <v>427</v>
      </c>
      <c r="G541" t="s">
        <v>425</v>
      </c>
      <c r="H541" s="1">
        <v>32451</v>
      </c>
      <c r="I541" s="1" t="s">
        <v>430</v>
      </c>
      <c r="J541" t="s">
        <v>446</v>
      </c>
      <c r="K541" s="12">
        <v>9.9</v>
      </c>
      <c r="L541" s="14">
        <f ca="1">TRUNC((TODAY()-TabelaBase[[#This Row],[Data Nascimento]])/365)</f>
        <v>37</v>
      </c>
      <c r="M541" s="14" t="str">
        <f ca="1">HLOOKUP(TabelaBase[[#This Row],[Idade]],$O$3:$R$4,2,TRUE)</f>
        <v>35 - 44</v>
      </c>
    </row>
    <row r="542" spans="2:13" x14ac:dyDescent="0.3">
      <c r="B542" s="11">
        <v>57367066989</v>
      </c>
      <c r="C542" t="s">
        <v>330</v>
      </c>
      <c r="D542" t="s">
        <v>6</v>
      </c>
      <c r="E542" t="s">
        <v>7</v>
      </c>
      <c r="F542" t="s">
        <v>11</v>
      </c>
      <c r="G542" t="s">
        <v>426</v>
      </c>
      <c r="H542" s="1">
        <v>24235</v>
      </c>
      <c r="I542" s="1" t="s">
        <v>435</v>
      </c>
      <c r="J542" t="s">
        <v>447</v>
      </c>
      <c r="K542" s="12">
        <v>79.900000000000006</v>
      </c>
      <c r="L542" s="14">
        <f ca="1">TRUNC((TODAY()-TabelaBase[[#This Row],[Data Nascimento]])/365)</f>
        <v>59</v>
      </c>
      <c r="M542" s="14" t="str">
        <f ca="1">HLOOKUP(TabelaBase[[#This Row],[Idade]],$O$3:$R$4,2,TRUE)</f>
        <v>54-70</v>
      </c>
    </row>
    <row r="543" spans="2:13" x14ac:dyDescent="0.3">
      <c r="B543" s="11">
        <v>57379301258</v>
      </c>
      <c r="C543" t="s">
        <v>289</v>
      </c>
      <c r="D543" t="s">
        <v>5</v>
      </c>
      <c r="E543" t="s">
        <v>8</v>
      </c>
      <c r="F543" t="s">
        <v>12</v>
      </c>
      <c r="G543" t="s">
        <v>424</v>
      </c>
      <c r="H543" s="1">
        <v>28635</v>
      </c>
      <c r="I543" s="1" t="s">
        <v>436</v>
      </c>
      <c r="J543" t="s">
        <v>445</v>
      </c>
      <c r="K543" s="12">
        <v>35.9</v>
      </c>
      <c r="L543" s="14">
        <f ca="1">TRUNC((TODAY()-TabelaBase[[#This Row],[Data Nascimento]])/365)</f>
        <v>47</v>
      </c>
      <c r="M543" s="14" t="str">
        <f ca="1">HLOOKUP(TabelaBase[[#This Row],[Idade]],$O$3:$R$4,2,TRUE)</f>
        <v>44 - 54</v>
      </c>
    </row>
    <row r="544" spans="2:13" x14ac:dyDescent="0.3">
      <c r="B544" s="11">
        <v>57464065635</v>
      </c>
      <c r="C544" t="s">
        <v>76</v>
      </c>
      <c r="D544" t="s">
        <v>5</v>
      </c>
      <c r="E544" t="s">
        <v>7</v>
      </c>
      <c r="F544" t="s">
        <v>14</v>
      </c>
      <c r="G544" t="s">
        <v>426</v>
      </c>
      <c r="H544" s="1">
        <v>33591</v>
      </c>
      <c r="I544" s="1" t="s">
        <v>430</v>
      </c>
      <c r="J544" t="s">
        <v>444</v>
      </c>
      <c r="K544" s="12">
        <v>29.9</v>
      </c>
      <c r="L544" s="14">
        <f ca="1">TRUNC((TODAY()-TabelaBase[[#This Row],[Data Nascimento]])/365)</f>
        <v>34</v>
      </c>
      <c r="M544" s="14" t="str">
        <f ca="1">HLOOKUP(TabelaBase[[#This Row],[Idade]],$O$3:$R$4,2,TRUE)</f>
        <v>24-34</v>
      </c>
    </row>
    <row r="545" spans="2:13" x14ac:dyDescent="0.3">
      <c r="B545" s="11">
        <v>57592799094</v>
      </c>
      <c r="C545" t="s">
        <v>381</v>
      </c>
      <c r="D545" t="s">
        <v>6</v>
      </c>
      <c r="E545" t="s">
        <v>417</v>
      </c>
      <c r="F545" t="s">
        <v>427</v>
      </c>
      <c r="G545" t="s">
        <v>425</v>
      </c>
      <c r="H545" s="1">
        <v>28813</v>
      </c>
      <c r="I545" s="1" t="s">
        <v>435</v>
      </c>
      <c r="J545" t="s">
        <v>446</v>
      </c>
      <c r="K545" s="12">
        <v>9.9</v>
      </c>
      <c r="L545" s="14">
        <f ca="1">TRUNC((TODAY()-TabelaBase[[#This Row],[Data Nascimento]])/365)</f>
        <v>47</v>
      </c>
      <c r="M545" s="14" t="str">
        <f ca="1">HLOOKUP(TabelaBase[[#This Row],[Idade]],$O$3:$R$4,2,TRUE)</f>
        <v>44 - 54</v>
      </c>
    </row>
    <row r="546" spans="2:13" x14ac:dyDescent="0.3">
      <c r="B546" s="11">
        <v>57638196563</v>
      </c>
      <c r="C546" t="s">
        <v>62</v>
      </c>
      <c r="D546" t="s">
        <v>5</v>
      </c>
      <c r="E546" t="s">
        <v>8</v>
      </c>
      <c r="F546" t="s">
        <v>13</v>
      </c>
      <c r="G546" t="s">
        <v>424</v>
      </c>
      <c r="H546" s="1">
        <v>28135</v>
      </c>
      <c r="I546" s="1" t="s">
        <v>436</v>
      </c>
      <c r="J546" t="s">
        <v>446</v>
      </c>
      <c r="K546" s="12">
        <v>9.9</v>
      </c>
      <c r="L546" s="14">
        <f ca="1">TRUNC((TODAY()-TabelaBase[[#This Row],[Data Nascimento]])/365)</f>
        <v>49</v>
      </c>
      <c r="M546" s="14" t="str">
        <f ca="1">HLOOKUP(TabelaBase[[#This Row],[Idade]],$O$3:$R$4,2,TRUE)</f>
        <v>44 - 54</v>
      </c>
    </row>
    <row r="547" spans="2:13" x14ac:dyDescent="0.3">
      <c r="B547" s="11">
        <v>57875961749</v>
      </c>
      <c r="C547" t="s">
        <v>288</v>
      </c>
      <c r="D547" t="s">
        <v>6</v>
      </c>
      <c r="E547" t="s">
        <v>416</v>
      </c>
      <c r="F547" t="s">
        <v>13</v>
      </c>
      <c r="G547" t="s">
        <v>425</v>
      </c>
      <c r="H547" s="1">
        <v>27083</v>
      </c>
      <c r="I547" s="1" t="s">
        <v>433</v>
      </c>
      <c r="J547" t="s">
        <v>445</v>
      </c>
      <c r="K547" s="12">
        <v>35.9</v>
      </c>
      <c r="L547" s="14">
        <f ca="1">TRUNC((TODAY()-TabelaBase[[#This Row],[Data Nascimento]])/365)</f>
        <v>51</v>
      </c>
      <c r="M547" s="14" t="str">
        <f ca="1">HLOOKUP(TabelaBase[[#This Row],[Idade]],$O$3:$R$4,2,TRUE)</f>
        <v>44 - 54</v>
      </c>
    </row>
    <row r="548" spans="2:13" x14ac:dyDescent="0.3">
      <c r="B548" s="11">
        <v>57970733283</v>
      </c>
      <c r="C548" t="s">
        <v>27</v>
      </c>
      <c r="D548" t="s">
        <v>6</v>
      </c>
      <c r="E548" t="s">
        <v>7</v>
      </c>
      <c r="F548" t="s">
        <v>9</v>
      </c>
      <c r="G548" t="s">
        <v>425</v>
      </c>
      <c r="H548" s="1">
        <v>24061</v>
      </c>
      <c r="I548" s="1" t="s">
        <v>433</v>
      </c>
      <c r="J548" t="s">
        <v>446</v>
      </c>
      <c r="K548" s="12">
        <v>9.9</v>
      </c>
      <c r="L548" s="14">
        <f ca="1">TRUNC((TODAY()-TabelaBase[[#This Row],[Data Nascimento]])/365)</f>
        <v>60</v>
      </c>
      <c r="M548" s="14" t="str">
        <f ca="1">HLOOKUP(TabelaBase[[#This Row],[Idade]],$O$3:$R$4,2,TRUE)</f>
        <v>54-70</v>
      </c>
    </row>
    <row r="549" spans="2:13" x14ac:dyDescent="0.3">
      <c r="B549" s="11">
        <v>58079835440</v>
      </c>
      <c r="C549" t="s">
        <v>356</v>
      </c>
      <c r="D549" t="s">
        <v>6</v>
      </c>
      <c r="E549" t="s">
        <v>7</v>
      </c>
      <c r="F549" t="s">
        <v>13</v>
      </c>
      <c r="G549" t="s">
        <v>426</v>
      </c>
      <c r="H549" s="1">
        <v>24209</v>
      </c>
      <c r="I549" s="1" t="s">
        <v>433</v>
      </c>
      <c r="J549" t="s">
        <v>446</v>
      </c>
      <c r="K549" s="12">
        <v>9.9</v>
      </c>
      <c r="L549" s="14">
        <f ca="1">TRUNC((TODAY()-TabelaBase[[#This Row],[Data Nascimento]])/365)</f>
        <v>59</v>
      </c>
      <c r="M549" s="14" t="str">
        <f ca="1">HLOOKUP(TabelaBase[[#This Row],[Idade]],$O$3:$R$4,2,TRUE)</f>
        <v>54-70</v>
      </c>
    </row>
    <row r="550" spans="2:13" x14ac:dyDescent="0.3">
      <c r="B550" s="11">
        <v>58289445241</v>
      </c>
      <c r="C550" t="s">
        <v>409</v>
      </c>
      <c r="D550" t="s">
        <v>6</v>
      </c>
      <c r="E550" t="s">
        <v>8</v>
      </c>
      <c r="F550" t="s">
        <v>12</v>
      </c>
      <c r="G550" t="s">
        <v>424</v>
      </c>
      <c r="H550" s="1">
        <v>32349</v>
      </c>
      <c r="I550" s="1" t="s">
        <v>433</v>
      </c>
      <c r="J550" t="s">
        <v>445</v>
      </c>
      <c r="K550" s="12">
        <v>35.9</v>
      </c>
      <c r="L550" s="14">
        <f ca="1">TRUNC((TODAY()-TabelaBase[[#This Row],[Data Nascimento]])/365)</f>
        <v>37</v>
      </c>
      <c r="M550" s="14" t="str">
        <f ca="1">HLOOKUP(TabelaBase[[#This Row],[Idade]],$O$3:$R$4,2,TRUE)</f>
        <v>35 - 44</v>
      </c>
    </row>
    <row r="551" spans="2:13" x14ac:dyDescent="0.3">
      <c r="B551" s="11">
        <v>58346333965</v>
      </c>
      <c r="C551" t="s">
        <v>217</v>
      </c>
      <c r="D551" t="s">
        <v>5</v>
      </c>
      <c r="E551" t="s">
        <v>7</v>
      </c>
      <c r="F551" t="s">
        <v>12</v>
      </c>
      <c r="G551" t="s">
        <v>425</v>
      </c>
      <c r="H551" s="1">
        <v>25399</v>
      </c>
      <c r="I551" s="1" t="s">
        <v>433</v>
      </c>
      <c r="J551" t="s">
        <v>445</v>
      </c>
      <c r="K551" s="12">
        <v>35.9</v>
      </c>
      <c r="L551" s="14">
        <f ca="1">TRUNC((TODAY()-TabelaBase[[#This Row],[Data Nascimento]])/365)</f>
        <v>56</v>
      </c>
      <c r="M551" s="14" t="str">
        <f ca="1">HLOOKUP(TabelaBase[[#This Row],[Idade]],$O$3:$R$4,2,TRUE)</f>
        <v>54-70</v>
      </c>
    </row>
    <row r="552" spans="2:13" x14ac:dyDescent="0.3">
      <c r="B552" s="11">
        <v>58366156412</v>
      </c>
      <c r="C552" t="s">
        <v>142</v>
      </c>
      <c r="D552" t="s">
        <v>6</v>
      </c>
      <c r="E552" t="s">
        <v>8</v>
      </c>
      <c r="F552" t="s">
        <v>427</v>
      </c>
      <c r="G552" t="s">
        <v>424</v>
      </c>
      <c r="H552" s="1">
        <v>32079</v>
      </c>
      <c r="I552" s="1" t="s">
        <v>433</v>
      </c>
      <c r="J552" t="s">
        <v>444</v>
      </c>
      <c r="K552" s="12">
        <v>29.9</v>
      </c>
      <c r="L552" s="14">
        <f ca="1">TRUNC((TODAY()-TabelaBase[[#This Row],[Data Nascimento]])/365)</f>
        <v>38</v>
      </c>
      <c r="M552" s="14" t="str">
        <f ca="1">HLOOKUP(TabelaBase[[#This Row],[Idade]],$O$3:$R$4,2,TRUE)</f>
        <v>35 - 44</v>
      </c>
    </row>
    <row r="553" spans="2:13" x14ac:dyDescent="0.3">
      <c r="B553" s="11">
        <v>58438486574</v>
      </c>
      <c r="C553" t="s">
        <v>376</v>
      </c>
      <c r="D553" t="s">
        <v>5</v>
      </c>
      <c r="E553" t="s">
        <v>7</v>
      </c>
      <c r="F553" t="s">
        <v>14</v>
      </c>
      <c r="G553" t="s">
        <v>426</v>
      </c>
      <c r="H553" s="1">
        <v>30918</v>
      </c>
      <c r="I553" s="1" t="s">
        <v>433</v>
      </c>
      <c r="J553" t="s">
        <v>446</v>
      </c>
      <c r="K553" s="12">
        <v>9.9</v>
      </c>
      <c r="L553" s="14">
        <f ca="1">TRUNC((TODAY()-TabelaBase[[#This Row],[Data Nascimento]])/365)</f>
        <v>41</v>
      </c>
      <c r="M553" s="14" t="str">
        <f ca="1">HLOOKUP(TabelaBase[[#This Row],[Idade]],$O$3:$R$4,2,TRUE)</f>
        <v>35 - 44</v>
      </c>
    </row>
    <row r="554" spans="2:13" x14ac:dyDescent="0.3">
      <c r="B554" s="11">
        <v>58546694716</v>
      </c>
      <c r="C554" t="s">
        <v>149</v>
      </c>
      <c r="D554" t="s">
        <v>6</v>
      </c>
      <c r="E554" t="s">
        <v>418</v>
      </c>
      <c r="F554" t="s">
        <v>427</v>
      </c>
      <c r="G554" t="s">
        <v>426</v>
      </c>
      <c r="H554" s="1">
        <v>29613</v>
      </c>
      <c r="I554" s="1" t="s">
        <v>433</v>
      </c>
      <c r="J554" t="s">
        <v>445</v>
      </c>
      <c r="K554" s="12">
        <v>35.9</v>
      </c>
      <c r="L554" s="14">
        <f ca="1">TRUNC((TODAY()-TabelaBase[[#This Row],[Data Nascimento]])/365)</f>
        <v>44</v>
      </c>
      <c r="M554" s="14" t="str">
        <f ca="1">HLOOKUP(TabelaBase[[#This Row],[Idade]],$O$3:$R$4,2,TRUE)</f>
        <v>44 - 54</v>
      </c>
    </row>
    <row r="555" spans="2:13" x14ac:dyDescent="0.3">
      <c r="B555" s="11">
        <v>58668298672</v>
      </c>
      <c r="C555" t="s">
        <v>170</v>
      </c>
      <c r="D555" t="s">
        <v>6</v>
      </c>
      <c r="E555" t="s">
        <v>7</v>
      </c>
      <c r="F555" t="s">
        <v>13</v>
      </c>
      <c r="G555" t="s">
        <v>426</v>
      </c>
      <c r="H555" s="1">
        <v>34171</v>
      </c>
      <c r="I555" s="1" t="s">
        <v>433</v>
      </c>
      <c r="J555" t="s">
        <v>447</v>
      </c>
      <c r="K555" s="12">
        <v>79.900000000000006</v>
      </c>
      <c r="L555" s="14">
        <f ca="1">TRUNC((TODAY()-TabelaBase[[#This Row],[Data Nascimento]])/365)</f>
        <v>32</v>
      </c>
      <c r="M555" s="14" t="str">
        <f ca="1">HLOOKUP(TabelaBase[[#This Row],[Idade]],$O$3:$R$4,2,TRUE)</f>
        <v>24-34</v>
      </c>
    </row>
    <row r="556" spans="2:13" x14ac:dyDescent="0.3">
      <c r="B556" s="11">
        <v>58747813272</v>
      </c>
      <c r="C556" t="s">
        <v>77</v>
      </c>
      <c r="D556" t="s">
        <v>6</v>
      </c>
      <c r="E556" t="s">
        <v>7</v>
      </c>
      <c r="F556" t="s">
        <v>427</v>
      </c>
      <c r="G556" t="s">
        <v>425</v>
      </c>
      <c r="H556" s="1">
        <v>28992</v>
      </c>
      <c r="I556" s="1" t="s">
        <v>429</v>
      </c>
      <c r="J556" t="s">
        <v>445</v>
      </c>
      <c r="K556" s="12">
        <v>35.9</v>
      </c>
      <c r="L556" s="14">
        <f ca="1">TRUNC((TODAY()-TabelaBase[[#This Row],[Data Nascimento]])/365)</f>
        <v>46</v>
      </c>
      <c r="M556" s="14" t="str">
        <f ca="1">HLOOKUP(TabelaBase[[#This Row],[Idade]],$O$3:$R$4,2,TRUE)</f>
        <v>44 - 54</v>
      </c>
    </row>
    <row r="557" spans="2:13" x14ac:dyDescent="0.3">
      <c r="B557" s="11">
        <v>58903912727</v>
      </c>
      <c r="C557" t="s">
        <v>135</v>
      </c>
      <c r="D557" t="s">
        <v>6</v>
      </c>
      <c r="E557" t="s">
        <v>417</v>
      </c>
      <c r="F557" t="s">
        <v>9</v>
      </c>
      <c r="G557" t="s">
        <v>425</v>
      </c>
      <c r="H557" s="1">
        <v>26976</v>
      </c>
      <c r="I557" s="1" t="s">
        <v>432</v>
      </c>
      <c r="J557" t="s">
        <v>444</v>
      </c>
      <c r="K557" s="12">
        <v>29.9</v>
      </c>
      <c r="L557" s="14">
        <f ca="1">TRUNC((TODAY()-TabelaBase[[#This Row],[Data Nascimento]])/365)</f>
        <v>52</v>
      </c>
      <c r="M557" s="14" t="str">
        <f ca="1">HLOOKUP(TabelaBase[[#This Row],[Idade]],$O$3:$R$4,2,TRUE)</f>
        <v>44 - 54</v>
      </c>
    </row>
    <row r="558" spans="2:13" x14ac:dyDescent="0.3">
      <c r="B558" s="11">
        <v>58944256865</v>
      </c>
      <c r="C558" t="s">
        <v>92</v>
      </c>
      <c r="D558" t="s">
        <v>6</v>
      </c>
      <c r="E558" t="s">
        <v>8</v>
      </c>
      <c r="F558" t="s">
        <v>13</v>
      </c>
      <c r="G558" t="s">
        <v>425</v>
      </c>
      <c r="H558" s="1">
        <v>36396</v>
      </c>
      <c r="I558" s="1" t="s">
        <v>436</v>
      </c>
      <c r="J558" t="s">
        <v>446</v>
      </c>
      <c r="K558" s="12">
        <v>9.9</v>
      </c>
      <c r="L558" s="14">
        <f ca="1">TRUNC((TODAY()-TabelaBase[[#This Row],[Data Nascimento]])/365)</f>
        <v>26</v>
      </c>
      <c r="M558" s="14" t="str">
        <f ca="1">HLOOKUP(TabelaBase[[#This Row],[Idade]],$O$3:$R$4,2,TRUE)</f>
        <v>24-34</v>
      </c>
    </row>
    <row r="559" spans="2:13" x14ac:dyDescent="0.3">
      <c r="B559" s="11">
        <v>59003331678</v>
      </c>
      <c r="C559" t="s">
        <v>63</v>
      </c>
      <c r="D559" t="s">
        <v>6</v>
      </c>
      <c r="E559" t="s">
        <v>7</v>
      </c>
      <c r="F559" t="s">
        <v>9</v>
      </c>
      <c r="G559" t="s">
        <v>424</v>
      </c>
      <c r="H559" s="1">
        <v>32152</v>
      </c>
      <c r="I559" s="1" t="s">
        <v>436</v>
      </c>
      <c r="J559" t="s">
        <v>446</v>
      </c>
      <c r="K559" s="12">
        <v>9.9</v>
      </c>
      <c r="L559" s="14">
        <f ca="1">TRUNC((TODAY()-TabelaBase[[#This Row],[Data Nascimento]])/365)</f>
        <v>38</v>
      </c>
      <c r="M559" s="14" t="str">
        <f ca="1">HLOOKUP(TabelaBase[[#This Row],[Idade]],$O$3:$R$4,2,TRUE)</f>
        <v>35 - 44</v>
      </c>
    </row>
    <row r="560" spans="2:13" x14ac:dyDescent="0.3">
      <c r="B560" s="11">
        <v>59016888278</v>
      </c>
      <c r="C560" t="s">
        <v>86</v>
      </c>
      <c r="D560" t="s">
        <v>5</v>
      </c>
      <c r="E560" t="s">
        <v>417</v>
      </c>
      <c r="F560" t="s">
        <v>13</v>
      </c>
      <c r="G560" t="s">
        <v>426</v>
      </c>
      <c r="H560" s="1">
        <v>31126</v>
      </c>
      <c r="I560" s="1" t="s">
        <v>436</v>
      </c>
      <c r="J560" t="s">
        <v>446</v>
      </c>
      <c r="K560" s="12">
        <v>9.9</v>
      </c>
      <c r="L560" s="14">
        <f ca="1">TRUNC((TODAY()-TabelaBase[[#This Row],[Data Nascimento]])/365)</f>
        <v>40</v>
      </c>
      <c r="M560" s="14" t="str">
        <f ca="1">HLOOKUP(TabelaBase[[#This Row],[Idade]],$O$3:$R$4,2,TRUE)</f>
        <v>35 - 44</v>
      </c>
    </row>
    <row r="561" spans="2:13" x14ac:dyDescent="0.3">
      <c r="B561" s="11">
        <v>59017936332</v>
      </c>
      <c r="C561" t="s">
        <v>293</v>
      </c>
      <c r="D561" t="s">
        <v>6</v>
      </c>
      <c r="E561" t="s">
        <v>7</v>
      </c>
      <c r="F561" t="s">
        <v>427</v>
      </c>
      <c r="G561" t="s">
        <v>424</v>
      </c>
      <c r="H561" s="1">
        <v>27622</v>
      </c>
      <c r="I561" s="1" t="s">
        <v>436</v>
      </c>
      <c r="J561" t="s">
        <v>445</v>
      </c>
      <c r="K561" s="12">
        <v>35.9</v>
      </c>
      <c r="L561" s="14">
        <f ca="1">TRUNC((TODAY()-TabelaBase[[#This Row],[Data Nascimento]])/365)</f>
        <v>50</v>
      </c>
      <c r="M561" s="14" t="str">
        <f ca="1">HLOOKUP(TabelaBase[[#This Row],[Idade]],$O$3:$R$4,2,TRUE)</f>
        <v>44 - 54</v>
      </c>
    </row>
    <row r="562" spans="2:13" x14ac:dyDescent="0.3">
      <c r="B562" s="11">
        <v>59510083298</v>
      </c>
      <c r="C562" t="s">
        <v>35</v>
      </c>
      <c r="D562" t="s">
        <v>6</v>
      </c>
      <c r="E562" t="s">
        <v>417</v>
      </c>
      <c r="F562" t="s">
        <v>13</v>
      </c>
      <c r="G562" t="s">
        <v>425</v>
      </c>
      <c r="H562" s="1">
        <v>22517</v>
      </c>
      <c r="I562" s="1" t="s">
        <v>436</v>
      </c>
      <c r="J562" t="s">
        <v>444</v>
      </c>
      <c r="K562" s="12">
        <v>29.9</v>
      </c>
      <c r="L562" s="14">
        <f ca="1">TRUNC((TODAY()-TabelaBase[[#This Row],[Data Nascimento]])/365)</f>
        <v>64</v>
      </c>
      <c r="M562" s="14" t="str">
        <f ca="1">HLOOKUP(TabelaBase[[#This Row],[Idade]],$O$3:$R$4,2,TRUE)</f>
        <v>54-70</v>
      </c>
    </row>
    <row r="563" spans="2:13" x14ac:dyDescent="0.3">
      <c r="B563" s="11">
        <v>59616857954</v>
      </c>
      <c r="C563" t="s">
        <v>267</v>
      </c>
      <c r="D563" t="s">
        <v>5</v>
      </c>
      <c r="E563" t="s">
        <v>7</v>
      </c>
      <c r="F563" t="s">
        <v>9</v>
      </c>
      <c r="G563" t="s">
        <v>425</v>
      </c>
      <c r="H563" s="1">
        <v>28482</v>
      </c>
      <c r="I563" s="1" t="s">
        <v>436</v>
      </c>
      <c r="J563" t="s">
        <v>446</v>
      </c>
      <c r="K563" s="12">
        <v>9.9</v>
      </c>
      <c r="L563" s="14">
        <f ca="1">TRUNC((TODAY()-TabelaBase[[#This Row],[Data Nascimento]])/365)</f>
        <v>48</v>
      </c>
      <c r="M563" s="14" t="str">
        <f ca="1">HLOOKUP(TabelaBase[[#This Row],[Idade]],$O$3:$R$4,2,TRUE)</f>
        <v>44 - 54</v>
      </c>
    </row>
    <row r="564" spans="2:13" x14ac:dyDescent="0.3">
      <c r="B564" s="11">
        <v>59825274523</v>
      </c>
      <c r="C564" t="s">
        <v>91</v>
      </c>
      <c r="D564" t="s">
        <v>6</v>
      </c>
      <c r="E564" t="s">
        <v>416</v>
      </c>
      <c r="F564" t="s">
        <v>12</v>
      </c>
      <c r="G564" t="s">
        <v>424</v>
      </c>
      <c r="H564" s="1">
        <v>29914</v>
      </c>
      <c r="I564" s="1" t="s">
        <v>435</v>
      </c>
      <c r="J564" t="s">
        <v>446</v>
      </c>
      <c r="K564" s="12">
        <v>9.9</v>
      </c>
      <c r="L564" s="14">
        <f ca="1">TRUNC((TODAY()-TabelaBase[[#This Row],[Data Nascimento]])/365)</f>
        <v>44</v>
      </c>
      <c r="M564" s="14" t="str">
        <f ca="1">HLOOKUP(TabelaBase[[#This Row],[Idade]],$O$3:$R$4,2,TRUE)</f>
        <v>44 - 54</v>
      </c>
    </row>
    <row r="565" spans="2:13" x14ac:dyDescent="0.3">
      <c r="B565" s="11">
        <v>59847163476</v>
      </c>
      <c r="C565" t="s">
        <v>270</v>
      </c>
      <c r="D565" t="s">
        <v>6</v>
      </c>
      <c r="E565" t="s">
        <v>7</v>
      </c>
      <c r="F565" t="s">
        <v>11</v>
      </c>
      <c r="G565" t="s">
        <v>426</v>
      </c>
      <c r="H565" s="1">
        <v>28138</v>
      </c>
      <c r="I565" s="1" t="s">
        <v>433</v>
      </c>
      <c r="J565" t="s">
        <v>447</v>
      </c>
      <c r="K565" s="12">
        <v>79.900000000000006</v>
      </c>
      <c r="L565" s="14">
        <f ca="1">TRUNC((TODAY()-TabelaBase[[#This Row],[Data Nascimento]])/365)</f>
        <v>49</v>
      </c>
      <c r="M565" s="14" t="str">
        <f ca="1">HLOOKUP(TabelaBase[[#This Row],[Idade]],$O$3:$R$4,2,TRUE)</f>
        <v>44 - 54</v>
      </c>
    </row>
    <row r="566" spans="2:13" x14ac:dyDescent="0.3">
      <c r="B566" s="11">
        <v>60015297037</v>
      </c>
      <c r="C566" t="s">
        <v>128</v>
      </c>
      <c r="D566" t="s">
        <v>6</v>
      </c>
      <c r="E566" t="s">
        <v>416</v>
      </c>
      <c r="F566" t="s">
        <v>13</v>
      </c>
      <c r="G566" t="s">
        <v>425</v>
      </c>
      <c r="H566" s="1">
        <v>34267</v>
      </c>
      <c r="I566" s="1" t="s">
        <v>433</v>
      </c>
      <c r="J566" t="s">
        <v>444</v>
      </c>
      <c r="K566" s="12">
        <v>29.9</v>
      </c>
      <c r="L566" s="14">
        <f ca="1">TRUNC((TODAY()-TabelaBase[[#This Row],[Data Nascimento]])/365)</f>
        <v>32</v>
      </c>
      <c r="M566" s="14" t="str">
        <f ca="1">HLOOKUP(TabelaBase[[#This Row],[Idade]],$O$3:$R$4,2,TRUE)</f>
        <v>24-34</v>
      </c>
    </row>
    <row r="567" spans="2:13" x14ac:dyDescent="0.3">
      <c r="B567" s="11">
        <v>60024137404</v>
      </c>
      <c r="C567" t="s">
        <v>374</v>
      </c>
      <c r="D567" t="s">
        <v>5</v>
      </c>
      <c r="E567" t="s">
        <v>417</v>
      </c>
      <c r="F567" t="s">
        <v>13</v>
      </c>
      <c r="G567" t="s">
        <v>425</v>
      </c>
      <c r="H567" s="1">
        <v>25915</v>
      </c>
      <c r="I567" s="1" t="s">
        <v>433</v>
      </c>
      <c r="J567" t="s">
        <v>446</v>
      </c>
      <c r="K567" s="12">
        <v>9.9</v>
      </c>
      <c r="L567" s="14">
        <f ca="1">TRUNC((TODAY()-TabelaBase[[#This Row],[Data Nascimento]])/365)</f>
        <v>55</v>
      </c>
      <c r="M567" s="14" t="str">
        <f ca="1">HLOOKUP(TabelaBase[[#This Row],[Idade]],$O$3:$R$4,2,TRUE)</f>
        <v>54-70</v>
      </c>
    </row>
    <row r="568" spans="2:13" x14ac:dyDescent="0.3">
      <c r="B568" s="11">
        <v>60051549640</v>
      </c>
      <c r="C568" t="s">
        <v>70</v>
      </c>
      <c r="D568" t="s">
        <v>5</v>
      </c>
      <c r="E568" t="s">
        <v>7</v>
      </c>
      <c r="F568" t="s">
        <v>427</v>
      </c>
      <c r="G568" t="s">
        <v>426</v>
      </c>
      <c r="H568" s="1">
        <v>24306</v>
      </c>
      <c r="I568" s="1" t="s">
        <v>433</v>
      </c>
      <c r="J568" t="s">
        <v>444</v>
      </c>
      <c r="K568" s="12">
        <v>29.9</v>
      </c>
      <c r="L568" s="14">
        <f ca="1">TRUNC((TODAY()-TabelaBase[[#This Row],[Data Nascimento]])/365)</f>
        <v>59</v>
      </c>
      <c r="M568" s="14" t="str">
        <f ca="1">HLOOKUP(TabelaBase[[#This Row],[Idade]],$O$3:$R$4,2,TRUE)</f>
        <v>54-70</v>
      </c>
    </row>
    <row r="569" spans="2:13" x14ac:dyDescent="0.3">
      <c r="B569" s="11">
        <v>60149753821</v>
      </c>
      <c r="C569" t="s">
        <v>129</v>
      </c>
      <c r="D569" t="s">
        <v>6</v>
      </c>
      <c r="E569" t="s">
        <v>8</v>
      </c>
      <c r="F569" t="s">
        <v>427</v>
      </c>
      <c r="G569" t="s">
        <v>424</v>
      </c>
      <c r="H569" s="1">
        <v>27416</v>
      </c>
      <c r="I569" s="1" t="s">
        <v>433</v>
      </c>
      <c r="J569" t="s">
        <v>446</v>
      </c>
      <c r="K569" s="12">
        <v>9.9</v>
      </c>
      <c r="L569" s="14">
        <f ca="1">TRUNC((TODAY()-TabelaBase[[#This Row],[Data Nascimento]])/365)</f>
        <v>51</v>
      </c>
      <c r="M569" s="14" t="str">
        <f ca="1">HLOOKUP(TabelaBase[[#This Row],[Idade]],$O$3:$R$4,2,TRUE)</f>
        <v>44 - 54</v>
      </c>
    </row>
    <row r="570" spans="2:13" x14ac:dyDescent="0.3">
      <c r="B570" s="11">
        <v>60183693472</v>
      </c>
      <c r="C570" t="s">
        <v>151</v>
      </c>
      <c r="D570" t="s">
        <v>6</v>
      </c>
      <c r="E570" t="s">
        <v>417</v>
      </c>
      <c r="F570" t="s">
        <v>12</v>
      </c>
      <c r="G570" t="s">
        <v>424</v>
      </c>
      <c r="H570" s="1">
        <v>30797</v>
      </c>
      <c r="I570" s="1" t="s">
        <v>430</v>
      </c>
      <c r="J570" t="s">
        <v>447</v>
      </c>
      <c r="K570" s="12">
        <v>79.900000000000006</v>
      </c>
      <c r="L570" s="14">
        <f ca="1">TRUNC((TODAY()-TabelaBase[[#This Row],[Data Nascimento]])/365)</f>
        <v>41</v>
      </c>
      <c r="M570" s="14" t="str">
        <f ca="1">HLOOKUP(TabelaBase[[#This Row],[Idade]],$O$3:$R$4,2,TRUE)</f>
        <v>35 - 44</v>
      </c>
    </row>
    <row r="571" spans="2:13" x14ac:dyDescent="0.3">
      <c r="B571" s="11">
        <v>60235696152</v>
      </c>
      <c r="C571" t="s">
        <v>171</v>
      </c>
      <c r="D571" t="s">
        <v>6</v>
      </c>
      <c r="E571" t="s">
        <v>416</v>
      </c>
      <c r="F571" t="s">
        <v>9</v>
      </c>
      <c r="G571" t="s">
        <v>424</v>
      </c>
      <c r="H571" s="1">
        <v>24154</v>
      </c>
      <c r="I571" s="1" t="s">
        <v>429</v>
      </c>
      <c r="J571" t="s">
        <v>446</v>
      </c>
      <c r="K571" s="12">
        <v>9.9</v>
      </c>
      <c r="L571" s="14">
        <f ca="1">TRUNC((TODAY()-TabelaBase[[#This Row],[Data Nascimento]])/365)</f>
        <v>59</v>
      </c>
      <c r="M571" s="14" t="str">
        <f ca="1">HLOOKUP(TabelaBase[[#This Row],[Idade]],$O$3:$R$4,2,TRUE)</f>
        <v>54-70</v>
      </c>
    </row>
    <row r="572" spans="2:13" x14ac:dyDescent="0.3">
      <c r="B572" s="11">
        <v>60525979542</v>
      </c>
      <c r="C572" t="s">
        <v>104</v>
      </c>
      <c r="D572" t="s">
        <v>6</v>
      </c>
      <c r="E572" t="s">
        <v>417</v>
      </c>
      <c r="F572" t="s">
        <v>13</v>
      </c>
      <c r="G572" t="s">
        <v>425</v>
      </c>
      <c r="H572" s="1">
        <v>34862</v>
      </c>
      <c r="I572" s="1" t="s">
        <v>431</v>
      </c>
      <c r="J572" t="s">
        <v>444</v>
      </c>
      <c r="K572" s="12">
        <v>29.9</v>
      </c>
      <c r="L572" s="14">
        <f ca="1">TRUNC((TODAY()-TabelaBase[[#This Row],[Data Nascimento]])/365)</f>
        <v>30</v>
      </c>
      <c r="M572" s="14" t="str">
        <f ca="1">HLOOKUP(TabelaBase[[#This Row],[Idade]],$O$3:$R$4,2,TRUE)</f>
        <v>24-34</v>
      </c>
    </row>
    <row r="573" spans="2:13" x14ac:dyDescent="0.3">
      <c r="B573" s="11">
        <v>60989752820</v>
      </c>
      <c r="C573" t="s">
        <v>300</v>
      </c>
      <c r="D573" t="s">
        <v>6</v>
      </c>
      <c r="E573" t="s">
        <v>7</v>
      </c>
      <c r="F573" t="s">
        <v>13</v>
      </c>
      <c r="G573" t="s">
        <v>425</v>
      </c>
      <c r="H573" s="1">
        <v>33328</v>
      </c>
      <c r="I573" s="1" t="s">
        <v>432</v>
      </c>
      <c r="J573" t="s">
        <v>446</v>
      </c>
      <c r="K573" s="12">
        <v>9.9</v>
      </c>
      <c r="L573" s="14">
        <f ca="1">TRUNC((TODAY()-TabelaBase[[#This Row],[Data Nascimento]])/365)</f>
        <v>34</v>
      </c>
      <c r="M573" s="14" t="str">
        <f ca="1">HLOOKUP(TabelaBase[[#This Row],[Idade]],$O$3:$R$4,2,TRUE)</f>
        <v>24-34</v>
      </c>
    </row>
    <row r="574" spans="2:13" x14ac:dyDescent="0.3">
      <c r="B574" s="11">
        <v>61010920820</v>
      </c>
      <c r="C574" t="s">
        <v>207</v>
      </c>
      <c r="D574" t="s">
        <v>6</v>
      </c>
      <c r="E574" t="s">
        <v>7</v>
      </c>
      <c r="F574" t="s">
        <v>9</v>
      </c>
      <c r="G574" t="s">
        <v>425</v>
      </c>
      <c r="H574" s="1">
        <v>28705</v>
      </c>
      <c r="I574" s="1" t="s">
        <v>434</v>
      </c>
      <c r="J574" t="s">
        <v>446</v>
      </c>
      <c r="K574" s="12">
        <v>9.9</v>
      </c>
      <c r="L574" s="14">
        <f ca="1">TRUNC((TODAY()-TabelaBase[[#This Row],[Data Nascimento]])/365)</f>
        <v>47</v>
      </c>
      <c r="M574" s="14" t="str">
        <f ca="1">HLOOKUP(TabelaBase[[#This Row],[Idade]],$O$3:$R$4,2,TRUE)</f>
        <v>44 - 54</v>
      </c>
    </row>
    <row r="575" spans="2:13" x14ac:dyDescent="0.3">
      <c r="B575" s="11">
        <v>61123160920</v>
      </c>
      <c r="C575" t="s">
        <v>377</v>
      </c>
      <c r="D575" t="s">
        <v>6</v>
      </c>
      <c r="E575" t="s">
        <v>7</v>
      </c>
      <c r="F575" t="s">
        <v>427</v>
      </c>
      <c r="G575" t="s">
        <v>425</v>
      </c>
      <c r="H575" s="1">
        <v>31092</v>
      </c>
      <c r="I575" s="1" t="s">
        <v>430</v>
      </c>
      <c r="J575" t="s">
        <v>445</v>
      </c>
      <c r="K575" s="12">
        <v>35.9</v>
      </c>
      <c r="L575" s="14">
        <f ca="1">TRUNC((TODAY()-TabelaBase[[#This Row],[Data Nascimento]])/365)</f>
        <v>40</v>
      </c>
      <c r="M575" s="14" t="str">
        <f ca="1">HLOOKUP(TabelaBase[[#This Row],[Idade]],$O$3:$R$4,2,TRUE)</f>
        <v>35 - 44</v>
      </c>
    </row>
    <row r="576" spans="2:13" x14ac:dyDescent="0.3">
      <c r="B576" s="11">
        <v>61998180036</v>
      </c>
      <c r="C576" t="s">
        <v>237</v>
      </c>
      <c r="D576" t="s">
        <v>5</v>
      </c>
      <c r="E576" t="s">
        <v>7</v>
      </c>
      <c r="F576" t="s">
        <v>427</v>
      </c>
      <c r="G576" t="s">
        <v>425</v>
      </c>
      <c r="H576" s="1">
        <v>26067</v>
      </c>
      <c r="I576" s="1" t="s">
        <v>435</v>
      </c>
      <c r="J576" t="s">
        <v>446</v>
      </c>
      <c r="K576" s="12">
        <v>9.9</v>
      </c>
      <c r="L576" s="14">
        <f ca="1">TRUNC((TODAY()-TabelaBase[[#This Row],[Data Nascimento]])/365)</f>
        <v>54</v>
      </c>
      <c r="M576" s="14" t="str">
        <f ca="1">HLOOKUP(TabelaBase[[#This Row],[Idade]],$O$3:$R$4,2,TRUE)</f>
        <v>54-70</v>
      </c>
    </row>
    <row r="577" spans="2:13" x14ac:dyDescent="0.3">
      <c r="B577" s="11">
        <v>62050521447</v>
      </c>
      <c r="C577" t="s">
        <v>84</v>
      </c>
      <c r="D577" t="s">
        <v>5</v>
      </c>
      <c r="E577" t="s">
        <v>418</v>
      </c>
      <c r="F577" t="s">
        <v>13</v>
      </c>
      <c r="G577" t="s">
        <v>425</v>
      </c>
      <c r="H577" s="1">
        <v>30718</v>
      </c>
      <c r="I577" s="1" t="s">
        <v>436</v>
      </c>
      <c r="J577" t="s">
        <v>446</v>
      </c>
      <c r="K577" s="12">
        <v>9.9</v>
      </c>
      <c r="L577" s="14">
        <f ca="1">TRUNC((TODAY()-TabelaBase[[#This Row],[Data Nascimento]])/365)</f>
        <v>41</v>
      </c>
      <c r="M577" s="14" t="str">
        <f ca="1">HLOOKUP(TabelaBase[[#This Row],[Idade]],$O$3:$R$4,2,TRUE)</f>
        <v>35 - 44</v>
      </c>
    </row>
    <row r="578" spans="2:13" x14ac:dyDescent="0.3">
      <c r="B578" s="11">
        <v>62673271781</v>
      </c>
      <c r="C578" t="s">
        <v>364</v>
      </c>
      <c r="D578" t="s">
        <v>5</v>
      </c>
      <c r="E578" t="s">
        <v>418</v>
      </c>
      <c r="F578" t="s">
        <v>14</v>
      </c>
      <c r="G578" t="s">
        <v>425</v>
      </c>
      <c r="H578" s="1">
        <v>33703</v>
      </c>
      <c r="I578" s="1" t="s">
        <v>430</v>
      </c>
      <c r="J578" t="s">
        <v>444</v>
      </c>
      <c r="K578" s="12">
        <v>29.9</v>
      </c>
      <c r="L578" s="14">
        <f ca="1">TRUNC((TODAY()-TabelaBase[[#This Row],[Data Nascimento]])/365)</f>
        <v>33</v>
      </c>
      <c r="M578" s="14" t="str">
        <f ca="1">HLOOKUP(TabelaBase[[#This Row],[Idade]],$O$3:$R$4,2,TRUE)</f>
        <v>24-34</v>
      </c>
    </row>
    <row r="579" spans="2:13" x14ac:dyDescent="0.3">
      <c r="B579" s="11">
        <v>63042983789</v>
      </c>
      <c r="C579" t="s">
        <v>403</v>
      </c>
      <c r="D579" t="s">
        <v>6</v>
      </c>
      <c r="E579" t="s">
        <v>7</v>
      </c>
      <c r="F579" t="s">
        <v>12</v>
      </c>
      <c r="G579" t="s">
        <v>424</v>
      </c>
      <c r="H579" s="1">
        <v>32663</v>
      </c>
      <c r="I579" s="1" t="s">
        <v>435</v>
      </c>
      <c r="J579" t="s">
        <v>446</v>
      </c>
      <c r="K579" s="12">
        <v>9.9</v>
      </c>
      <c r="L579" s="14">
        <f ca="1">TRUNC((TODAY()-TabelaBase[[#This Row],[Data Nascimento]])/365)</f>
        <v>36</v>
      </c>
      <c r="M579" s="14" t="str">
        <f ca="1">HLOOKUP(TabelaBase[[#This Row],[Idade]],$O$3:$R$4,2,TRUE)</f>
        <v>35 - 44</v>
      </c>
    </row>
    <row r="580" spans="2:13" x14ac:dyDescent="0.3">
      <c r="B580" s="11">
        <v>63194018864</v>
      </c>
      <c r="C580" t="s">
        <v>249</v>
      </c>
      <c r="D580" t="s">
        <v>6</v>
      </c>
      <c r="E580" t="s">
        <v>8</v>
      </c>
      <c r="F580" t="s">
        <v>427</v>
      </c>
      <c r="G580" t="s">
        <v>424</v>
      </c>
      <c r="H580" s="1">
        <v>22147</v>
      </c>
      <c r="I580" s="1" t="s">
        <v>436</v>
      </c>
      <c r="J580" t="s">
        <v>446</v>
      </c>
      <c r="K580" s="12">
        <v>9.9</v>
      </c>
      <c r="L580" s="14">
        <f ca="1">TRUNC((TODAY()-TabelaBase[[#This Row],[Data Nascimento]])/365)</f>
        <v>65</v>
      </c>
      <c r="M580" s="14" t="str">
        <f ca="1">HLOOKUP(TabelaBase[[#This Row],[Idade]],$O$3:$R$4,2,TRUE)</f>
        <v>54-70</v>
      </c>
    </row>
    <row r="581" spans="2:13" x14ac:dyDescent="0.3">
      <c r="B581" s="11">
        <v>63430108478</v>
      </c>
      <c r="C581" t="s">
        <v>184</v>
      </c>
      <c r="D581" t="s">
        <v>5</v>
      </c>
      <c r="E581" t="s">
        <v>417</v>
      </c>
      <c r="F581" t="s">
        <v>14</v>
      </c>
      <c r="G581" t="s">
        <v>425</v>
      </c>
      <c r="H581" s="1">
        <v>26423</v>
      </c>
      <c r="I581" s="1" t="s">
        <v>433</v>
      </c>
      <c r="J581" t="s">
        <v>446</v>
      </c>
      <c r="K581" s="12">
        <v>9.9</v>
      </c>
      <c r="L581" s="14">
        <f ca="1">TRUNC((TODAY()-TabelaBase[[#This Row],[Data Nascimento]])/365)</f>
        <v>53</v>
      </c>
      <c r="M581" s="14" t="str">
        <f ca="1">HLOOKUP(TabelaBase[[#This Row],[Idade]],$O$3:$R$4,2,TRUE)</f>
        <v>44 - 54</v>
      </c>
    </row>
    <row r="582" spans="2:13" x14ac:dyDescent="0.3">
      <c r="B582" s="11">
        <v>63534216354</v>
      </c>
      <c r="C582" t="s">
        <v>225</v>
      </c>
      <c r="D582" t="s">
        <v>5</v>
      </c>
      <c r="E582" t="s">
        <v>7</v>
      </c>
      <c r="F582" t="s">
        <v>427</v>
      </c>
      <c r="G582" t="s">
        <v>425</v>
      </c>
      <c r="H582" s="1">
        <v>28841</v>
      </c>
      <c r="I582" s="1" t="s">
        <v>433</v>
      </c>
      <c r="J582" t="s">
        <v>446</v>
      </c>
      <c r="K582" s="12">
        <v>9.9</v>
      </c>
      <c r="L582" s="14">
        <f ca="1">TRUNC((TODAY()-TabelaBase[[#This Row],[Data Nascimento]])/365)</f>
        <v>47</v>
      </c>
      <c r="M582" s="14" t="str">
        <f ca="1">HLOOKUP(TabelaBase[[#This Row],[Idade]],$O$3:$R$4,2,TRUE)</f>
        <v>44 - 54</v>
      </c>
    </row>
    <row r="583" spans="2:13" x14ac:dyDescent="0.3">
      <c r="B583" s="11">
        <v>63568912225</v>
      </c>
      <c r="C583" t="s">
        <v>158</v>
      </c>
      <c r="D583" t="s">
        <v>5</v>
      </c>
      <c r="E583" t="s">
        <v>417</v>
      </c>
      <c r="F583" t="s">
        <v>13</v>
      </c>
      <c r="G583" t="s">
        <v>426</v>
      </c>
      <c r="H583" s="1">
        <v>27444</v>
      </c>
      <c r="I583" s="1" t="s">
        <v>433</v>
      </c>
      <c r="J583" t="s">
        <v>446</v>
      </c>
      <c r="K583" s="12">
        <v>9.9</v>
      </c>
      <c r="L583" s="14">
        <f ca="1">TRUNC((TODAY()-TabelaBase[[#This Row],[Data Nascimento]])/365)</f>
        <v>50</v>
      </c>
      <c r="M583" s="14" t="str">
        <f ca="1">HLOOKUP(TabelaBase[[#This Row],[Idade]],$O$3:$R$4,2,TRUE)</f>
        <v>44 - 54</v>
      </c>
    </row>
    <row r="584" spans="2:13" x14ac:dyDescent="0.3">
      <c r="B584" s="11">
        <v>63795122122</v>
      </c>
      <c r="C584" t="s">
        <v>309</v>
      </c>
      <c r="D584" t="s">
        <v>6</v>
      </c>
      <c r="E584" t="s">
        <v>8</v>
      </c>
      <c r="F584" t="s">
        <v>427</v>
      </c>
      <c r="G584" t="s">
        <v>426</v>
      </c>
      <c r="H584" s="1">
        <v>34107</v>
      </c>
      <c r="I584" s="1" t="s">
        <v>433</v>
      </c>
      <c r="J584" t="s">
        <v>446</v>
      </c>
      <c r="K584" s="12">
        <v>9.9</v>
      </c>
      <c r="L584" s="14">
        <f ca="1">TRUNC((TODAY()-TabelaBase[[#This Row],[Data Nascimento]])/365)</f>
        <v>32</v>
      </c>
      <c r="M584" s="14" t="str">
        <f ca="1">HLOOKUP(TabelaBase[[#This Row],[Idade]],$O$3:$R$4,2,TRUE)</f>
        <v>24-34</v>
      </c>
    </row>
    <row r="585" spans="2:13" x14ac:dyDescent="0.3">
      <c r="B585" s="11">
        <v>64130526083</v>
      </c>
      <c r="C585" t="s">
        <v>39</v>
      </c>
      <c r="D585" t="s">
        <v>6</v>
      </c>
      <c r="E585" t="s">
        <v>8</v>
      </c>
      <c r="F585" t="s">
        <v>9</v>
      </c>
      <c r="G585" t="s">
        <v>425</v>
      </c>
      <c r="H585" s="1">
        <v>31001</v>
      </c>
      <c r="I585" s="1" t="s">
        <v>433</v>
      </c>
      <c r="J585" t="s">
        <v>444</v>
      </c>
      <c r="K585" s="12">
        <v>29.9</v>
      </c>
      <c r="L585" s="14">
        <f ca="1">TRUNC((TODAY()-TabelaBase[[#This Row],[Data Nascimento]])/365)</f>
        <v>41</v>
      </c>
      <c r="M585" s="14" t="str">
        <f ca="1">HLOOKUP(TabelaBase[[#This Row],[Idade]],$O$3:$R$4,2,TRUE)</f>
        <v>35 - 44</v>
      </c>
    </row>
    <row r="586" spans="2:13" x14ac:dyDescent="0.3">
      <c r="B586" s="11">
        <v>64350773035</v>
      </c>
      <c r="C586" t="s">
        <v>262</v>
      </c>
      <c r="D586" t="s">
        <v>6</v>
      </c>
      <c r="E586" t="s">
        <v>8</v>
      </c>
      <c r="F586" t="s">
        <v>427</v>
      </c>
      <c r="G586" t="s">
        <v>424</v>
      </c>
      <c r="H586" s="1">
        <v>26325</v>
      </c>
      <c r="I586" s="1" t="s">
        <v>433</v>
      </c>
      <c r="J586" t="s">
        <v>444</v>
      </c>
      <c r="K586" s="12">
        <v>29.9</v>
      </c>
      <c r="L586" s="14">
        <f ca="1">TRUNC((TODAY()-TabelaBase[[#This Row],[Data Nascimento]])/365)</f>
        <v>53</v>
      </c>
      <c r="M586" s="14" t="str">
        <f ca="1">HLOOKUP(TabelaBase[[#This Row],[Idade]],$O$3:$R$4,2,TRUE)</f>
        <v>44 - 54</v>
      </c>
    </row>
    <row r="587" spans="2:13" x14ac:dyDescent="0.3">
      <c r="B587" s="11">
        <v>64406878055</v>
      </c>
      <c r="C587" t="s">
        <v>46</v>
      </c>
      <c r="D587" t="s">
        <v>5</v>
      </c>
      <c r="E587" t="s">
        <v>417</v>
      </c>
      <c r="F587" t="s">
        <v>427</v>
      </c>
      <c r="G587" t="s">
        <v>426</v>
      </c>
      <c r="H587" s="1">
        <v>30454</v>
      </c>
      <c r="I587" s="1" t="s">
        <v>433</v>
      </c>
      <c r="J587" t="s">
        <v>444</v>
      </c>
      <c r="K587" s="12">
        <v>29.9</v>
      </c>
      <c r="L587" s="14">
        <f ca="1">TRUNC((TODAY()-TabelaBase[[#This Row],[Data Nascimento]])/365)</f>
        <v>42</v>
      </c>
      <c r="M587" s="14" t="str">
        <f ca="1">HLOOKUP(TabelaBase[[#This Row],[Idade]],$O$3:$R$4,2,TRUE)</f>
        <v>35 - 44</v>
      </c>
    </row>
    <row r="588" spans="2:13" x14ac:dyDescent="0.3">
      <c r="B588" s="11">
        <v>64709618097</v>
      </c>
      <c r="C588" t="s">
        <v>183</v>
      </c>
      <c r="D588" t="s">
        <v>5</v>
      </c>
      <c r="E588" t="s">
        <v>7</v>
      </c>
      <c r="F588" t="s">
        <v>9</v>
      </c>
      <c r="G588" t="s">
        <v>424</v>
      </c>
      <c r="H588" s="1">
        <v>24019</v>
      </c>
      <c r="I588" s="1" t="s">
        <v>433</v>
      </c>
      <c r="J588" t="s">
        <v>444</v>
      </c>
      <c r="K588" s="12">
        <v>29.9</v>
      </c>
      <c r="L588" s="14">
        <f ca="1">TRUNC((TODAY()-TabelaBase[[#This Row],[Data Nascimento]])/365)</f>
        <v>60</v>
      </c>
      <c r="M588" s="14" t="str">
        <f ca="1">HLOOKUP(TabelaBase[[#This Row],[Idade]],$O$3:$R$4,2,TRUE)</f>
        <v>54-70</v>
      </c>
    </row>
    <row r="589" spans="2:13" x14ac:dyDescent="0.3">
      <c r="B589" s="11">
        <v>64859560508</v>
      </c>
      <c r="C589" t="s">
        <v>263</v>
      </c>
      <c r="D589" t="s">
        <v>5</v>
      </c>
      <c r="E589" t="s">
        <v>7</v>
      </c>
      <c r="F589" t="s">
        <v>427</v>
      </c>
      <c r="G589" t="s">
        <v>424</v>
      </c>
      <c r="H589" s="1">
        <v>25937</v>
      </c>
      <c r="I589" s="1" t="s">
        <v>433</v>
      </c>
      <c r="J589" t="s">
        <v>444</v>
      </c>
      <c r="K589" s="12">
        <v>29.9</v>
      </c>
      <c r="L589" s="14">
        <f ca="1">TRUNC((TODAY()-TabelaBase[[#This Row],[Data Nascimento]])/365)</f>
        <v>55</v>
      </c>
      <c r="M589" s="14" t="str">
        <f ca="1">HLOOKUP(TabelaBase[[#This Row],[Idade]],$O$3:$R$4,2,TRUE)</f>
        <v>54-70</v>
      </c>
    </row>
    <row r="590" spans="2:13" x14ac:dyDescent="0.3">
      <c r="B590" s="11">
        <v>64965174741</v>
      </c>
      <c r="C590" t="s">
        <v>345</v>
      </c>
      <c r="D590" t="s">
        <v>5</v>
      </c>
      <c r="E590" t="s">
        <v>7</v>
      </c>
      <c r="F590" t="s">
        <v>427</v>
      </c>
      <c r="G590" t="s">
        <v>425</v>
      </c>
      <c r="H590" s="1">
        <v>26331</v>
      </c>
      <c r="I590" s="1" t="s">
        <v>429</v>
      </c>
      <c r="J590" t="s">
        <v>446</v>
      </c>
      <c r="K590" s="12">
        <v>9.9</v>
      </c>
      <c r="L590" s="14">
        <f ca="1">TRUNC((TODAY()-TabelaBase[[#This Row],[Data Nascimento]])/365)</f>
        <v>53</v>
      </c>
      <c r="M590" s="14" t="str">
        <f ca="1">HLOOKUP(TabelaBase[[#This Row],[Idade]],$O$3:$R$4,2,TRUE)</f>
        <v>44 - 54</v>
      </c>
    </row>
    <row r="591" spans="2:13" x14ac:dyDescent="0.3">
      <c r="B591" s="11">
        <v>65014260265</v>
      </c>
      <c r="C591" t="s">
        <v>367</v>
      </c>
      <c r="D591" t="s">
        <v>6</v>
      </c>
      <c r="E591" t="s">
        <v>7</v>
      </c>
      <c r="F591" t="s">
        <v>12</v>
      </c>
      <c r="G591" t="s">
        <v>425</v>
      </c>
      <c r="H591" s="1">
        <v>28527</v>
      </c>
      <c r="I591" s="1" t="s">
        <v>432</v>
      </c>
      <c r="J591" t="s">
        <v>447</v>
      </c>
      <c r="K591" s="12">
        <v>79.900000000000006</v>
      </c>
      <c r="L591" s="14">
        <f ca="1">TRUNC((TODAY()-TabelaBase[[#This Row],[Data Nascimento]])/365)</f>
        <v>47</v>
      </c>
      <c r="M591" s="14" t="str">
        <f ca="1">HLOOKUP(TabelaBase[[#This Row],[Idade]],$O$3:$R$4,2,TRUE)</f>
        <v>44 - 54</v>
      </c>
    </row>
    <row r="592" spans="2:13" x14ac:dyDescent="0.3">
      <c r="B592" s="11">
        <v>65252032106</v>
      </c>
      <c r="C592" t="s">
        <v>107</v>
      </c>
      <c r="D592" t="s">
        <v>6</v>
      </c>
      <c r="E592" t="s">
        <v>7</v>
      </c>
      <c r="F592" t="s">
        <v>13</v>
      </c>
      <c r="G592" t="s">
        <v>425</v>
      </c>
      <c r="H592" s="1">
        <v>25597</v>
      </c>
      <c r="I592" s="1" t="s">
        <v>436</v>
      </c>
      <c r="J592" t="s">
        <v>444</v>
      </c>
      <c r="K592" s="12">
        <v>29.9</v>
      </c>
      <c r="L592" s="14">
        <f ca="1">TRUNC((TODAY()-TabelaBase[[#This Row],[Data Nascimento]])/365)</f>
        <v>55</v>
      </c>
      <c r="M592" s="14" t="str">
        <f ca="1">HLOOKUP(TabelaBase[[#This Row],[Idade]],$O$3:$R$4,2,TRUE)</f>
        <v>54-70</v>
      </c>
    </row>
    <row r="593" spans="2:13" x14ac:dyDescent="0.3">
      <c r="B593" s="11">
        <v>65320164752</v>
      </c>
      <c r="C593" t="s">
        <v>15</v>
      </c>
      <c r="D593" t="s">
        <v>6</v>
      </c>
      <c r="E593" t="s">
        <v>417</v>
      </c>
      <c r="F593" t="s">
        <v>9</v>
      </c>
      <c r="G593" t="s">
        <v>425</v>
      </c>
      <c r="H593" s="1">
        <v>23147</v>
      </c>
      <c r="I593" s="1" t="s">
        <v>436</v>
      </c>
      <c r="J593" t="s">
        <v>446</v>
      </c>
      <c r="K593" s="12">
        <v>9.9</v>
      </c>
      <c r="L593" s="14">
        <f ca="1">TRUNC((TODAY()-TabelaBase[[#This Row],[Data Nascimento]])/365)</f>
        <v>62</v>
      </c>
      <c r="M593" s="14" t="str">
        <f ca="1">HLOOKUP(TabelaBase[[#This Row],[Idade]],$O$3:$R$4,2,TRUE)</f>
        <v>54-70</v>
      </c>
    </row>
    <row r="594" spans="2:13" x14ac:dyDescent="0.3">
      <c r="B594" s="11">
        <v>65344117273</v>
      </c>
      <c r="C594" t="s">
        <v>96</v>
      </c>
      <c r="D594" t="s">
        <v>6</v>
      </c>
      <c r="E594" t="s">
        <v>7</v>
      </c>
      <c r="F594" t="s">
        <v>13</v>
      </c>
      <c r="G594" t="s">
        <v>426</v>
      </c>
      <c r="H594" s="1">
        <v>25396</v>
      </c>
      <c r="I594" s="1" t="s">
        <v>436</v>
      </c>
      <c r="J594" t="s">
        <v>445</v>
      </c>
      <c r="K594" s="12">
        <v>35.9</v>
      </c>
      <c r="L594" s="14">
        <f ca="1">TRUNC((TODAY()-TabelaBase[[#This Row],[Data Nascimento]])/365)</f>
        <v>56</v>
      </c>
      <c r="M594" s="14" t="str">
        <f ca="1">HLOOKUP(TabelaBase[[#This Row],[Idade]],$O$3:$R$4,2,TRUE)</f>
        <v>54-70</v>
      </c>
    </row>
    <row r="595" spans="2:13" x14ac:dyDescent="0.3">
      <c r="B595" s="11">
        <v>65345196819</v>
      </c>
      <c r="C595" t="s">
        <v>276</v>
      </c>
      <c r="D595" t="s">
        <v>6</v>
      </c>
      <c r="E595" t="s">
        <v>7</v>
      </c>
      <c r="F595" t="s">
        <v>13</v>
      </c>
      <c r="G595" t="s">
        <v>426</v>
      </c>
      <c r="H595" s="1">
        <v>32627</v>
      </c>
      <c r="I595" s="1" t="s">
        <v>436</v>
      </c>
      <c r="J595" t="s">
        <v>446</v>
      </c>
      <c r="K595" s="12">
        <v>9.9</v>
      </c>
      <c r="L595" s="14">
        <f ca="1">TRUNC((TODAY()-TabelaBase[[#This Row],[Data Nascimento]])/365)</f>
        <v>36</v>
      </c>
      <c r="M595" s="14" t="str">
        <f ca="1">HLOOKUP(TabelaBase[[#This Row],[Idade]],$O$3:$R$4,2,TRUE)</f>
        <v>35 - 44</v>
      </c>
    </row>
    <row r="596" spans="2:13" x14ac:dyDescent="0.3">
      <c r="B596" s="11">
        <v>65384833003</v>
      </c>
      <c r="C596" t="s">
        <v>172</v>
      </c>
      <c r="D596" t="s">
        <v>6</v>
      </c>
      <c r="E596" t="s">
        <v>8</v>
      </c>
      <c r="F596" t="s">
        <v>14</v>
      </c>
      <c r="G596" t="s">
        <v>425</v>
      </c>
      <c r="H596" s="1">
        <v>32222</v>
      </c>
      <c r="I596" s="1" t="s">
        <v>436</v>
      </c>
      <c r="J596" t="s">
        <v>444</v>
      </c>
      <c r="K596" s="12">
        <v>29.9</v>
      </c>
      <c r="L596" s="14">
        <f ca="1">TRUNC((TODAY()-TabelaBase[[#This Row],[Data Nascimento]])/365)</f>
        <v>37</v>
      </c>
      <c r="M596" s="14" t="str">
        <f ca="1">HLOOKUP(TabelaBase[[#This Row],[Idade]],$O$3:$R$4,2,TRUE)</f>
        <v>35 - 44</v>
      </c>
    </row>
    <row r="597" spans="2:13" x14ac:dyDescent="0.3">
      <c r="B597" s="11">
        <v>65490123014</v>
      </c>
      <c r="C597" t="s">
        <v>324</v>
      </c>
      <c r="D597" t="s">
        <v>6</v>
      </c>
      <c r="E597" t="s">
        <v>418</v>
      </c>
      <c r="F597" t="s">
        <v>13</v>
      </c>
      <c r="G597" t="s">
        <v>425</v>
      </c>
      <c r="H597" s="1">
        <v>29810</v>
      </c>
      <c r="I597" s="1" t="s">
        <v>436</v>
      </c>
      <c r="J597" t="s">
        <v>446</v>
      </c>
      <c r="K597" s="12">
        <v>9.9</v>
      </c>
      <c r="L597" s="14">
        <f ca="1">TRUNC((TODAY()-TabelaBase[[#This Row],[Data Nascimento]])/365)</f>
        <v>44</v>
      </c>
      <c r="M597" s="14" t="str">
        <f ca="1">HLOOKUP(TabelaBase[[#This Row],[Idade]],$O$3:$R$4,2,TRUE)</f>
        <v>44 - 54</v>
      </c>
    </row>
    <row r="598" spans="2:13" x14ac:dyDescent="0.3">
      <c r="B598" s="11">
        <v>65784346414</v>
      </c>
      <c r="C598" t="s">
        <v>127</v>
      </c>
      <c r="D598" t="s">
        <v>6</v>
      </c>
      <c r="E598" t="s">
        <v>7</v>
      </c>
      <c r="F598" t="s">
        <v>12</v>
      </c>
      <c r="G598" t="s">
        <v>425</v>
      </c>
      <c r="H598" s="1">
        <v>36453</v>
      </c>
      <c r="I598" s="1" t="s">
        <v>435</v>
      </c>
      <c r="J598" t="s">
        <v>447</v>
      </c>
      <c r="K598" s="12">
        <v>79.900000000000006</v>
      </c>
      <c r="L598" s="14">
        <f ca="1">TRUNC((TODAY()-TabelaBase[[#This Row],[Data Nascimento]])/365)</f>
        <v>26</v>
      </c>
      <c r="M598" s="14" t="str">
        <f ca="1">HLOOKUP(TabelaBase[[#This Row],[Idade]],$O$3:$R$4,2,TRUE)</f>
        <v>24-34</v>
      </c>
    </row>
    <row r="599" spans="2:13" x14ac:dyDescent="0.3">
      <c r="B599" s="11">
        <v>66053578513</v>
      </c>
      <c r="C599" t="s">
        <v>404</v>
      </c>
      <c r="D599" t="s">
        <v>5</v>
      </c>
      <c r="E599" t="s">
        <v>418</v>
      </c>
      <c r="F599" t="s">
        <v>13</v>
      </c>
      <c r="G599" t="s">
        <v>425</v>
      </c>
      <c r="H599" s="1">
        <v>34334</v>
      </c>
      <c r="I599" s="1" t="s">
        <v>433</v>
      </c>
      <c r="J599" t="s">
        <v>446</v>
      </c>
      <c r="K599" s="12">
        <v>9.9</v>
      </c>
      <c r="L599" s="14">
        <f ca="1">TRUNC((TODAY()-TabelaBase[[#This Row],[Data Nascimento]])/365)</f>
        <v>32</v>
      </c>
      <c r="M599" s="14" t="str">
        <f ca="1">HLOOKUP(TabelaBase[[#This Row],[Idade]],$O$3:$R$4,2,TRUE)</f>
        <v>24-34</v>
      </c>
    </row>
    <row r="600" spans="2:13" x14ac:dyDescent="0.3">
      <c r="B600" s="11">
        <v>66332658626</v>
      </c>
      <c r="C600" t="s">
        <v>191</v>
      </c>
      <c r="D600" t="s">
        <v>5</v>
      </c>
      <c r="E600" t="s">
        <v>417</v>
      </c>
      <c r="F600" t="s">
        <v>427</v>
      </c>
      <c r="G600" t="s">
        <v>424</v>
      </c>
      <c r="H600" s="1">
        <v>23463</v>
      </c>
      <c r="I600" s="1" t="s">
        <v>433</v>
      </c>
      <c r="J600" t="s">
        <v>444</v>
      </c>
      <c r="K600" s="12">
        <v>29.9</v>
      </c>
      <c r="L600" s="14">
        <f ca="1">TRUNC((TODAY()-TabelaBase[[#This Row],[Data Nascimento]])/365)</f>
        <v>61</v>
      </c>
      <c r="M600" s="14" t="str">
        <f ca="1">HLOOKUP(TabelaBase[[#This Row],[Idade]],$O$3:$R$4,2,TRUE)</f>
        <v>54-70</v>
      </c>
    </row>
    <row r="601" spans="2:13" x14ac:dyDescent="0.3">
      <c r="B601" s="11">
        <v>66760582781</v>
      </c>
      <c r="C601" t="s">
        <v>140</v>
      </c>
      <c r="D601" t="s">
        <v>6</v>
      </c>
      <c r="E601" t="s">
        <v>7</v>
      </c>
      <c r="F601" t="s">
        <v>13</v>
      </c>
      <c r="G601" t="s">
        <v>425</v>
      </c>
      <c r="H601" s="1">
        <v>26251</v>
      </c>
      <c r="I601" s="1" t="s">
        <v>433</v>
      </c>
      <c r="J601" t="s">
        <v>446</v>
      </c>
      <c r="K601" s="12">
        <v>9.9</v>
      </c>
      <c r="L601" s="14">
        <f ca="1">TRUNC((TODAY()-TabelaBase[[#This Row],[Data Nascimento]])/365)</f>
        <v>54</v>
      </c>
      <c r="M601" s="14" t="str">
        <f ca="1">HLOOKUP(TabelaBase[[#This Row],[Idade]],$O$3:$R$4,2,TRUE)</f>
        <v>54-70</v>
      </c>
    </row>
    <row r="602" spans="2:13" x14ac:dyDescent="0.3">
      <c r="B602" s="11">
        <v>66893530711</v>
      </c>
      <c r="C602" t="s">
        <v>60</v>
      </c>
      <c r="D602" t="s">
        <v>6</v>
      </c>
      <c r="E602" t="s">
        <v>7</v>
      </c>
      <c r="F602" t="s">
        <v>13</v>
      </c>
      <c r="G602" t="s">
        <v>425</v>
      </c>
      <c r="H602" s="1">
        <v>31975</v>
      </c>
      <c r="I602" s="1" t="s">
        <v>433</v>
      </c>
      <c r="J602" t="s">
        <v>446</v>
      </c>
      <c r="K602" s="12">
        <v>9.9</v>
      </c>
      <c r="L602" s="14">
        <f ca="1">TRUNC((TODAY()-TabelaBase[[#This Row],[Data Nascimento]])/365)</f>
        <v>38</v>
      </c>
      <c r="M602" s="14" t="str">
        <f ca="1">HLOOKUP(TabelaBase[[#This Row],[Idade]],$O$3:$R$4,2,TRUE)</f>
        <v>35 - 44</v>
      </c>
    </row>
    <row r="603" spans="2:13" x14ac:dyDescent="0.3">
      <c r="B603" s="11">
        <v>67257820477</v>
      </c>
      <c r="C603" t="s">
        <v>332</v>
      </c>
      <c r="D603" t="s">
        <v>6</v>
      </c>
      <c r="E603" t="s">
        <v>8</v>
      </c>
      <c r="F603" t="s">
        <v>13</v>
      </c>
      <c r="G603" t="s">
        <v>425</v>
      </c>
      <c r="H603" s="1">
        <v>32114</v>
      </c>
      <c r="I603" s="1" t="s">
        <v>433</v>
      </c>
      <c r="J603" t="s">
        <v>446</v>
      </c>
      <c r="K603" s="12">
        <v>9.9</v>
      </c>
      <c r="L603" s="14">
        <f ca="1">TRUNC((TODAY()-TabelaBase[[#This Row],[Data Nascimento]])/365)</f>
        <v>38</v>
      </c>
      <c r="M603" s="14" t="str">
        <f ca="1">HLOOKUP(TabelaBase[[#This Row],[Idade]],$O$3:$R$4,2,TRUE)</f>
        <v>35 - 44</v>
      </c>
    </row>
    <row r="604" spans="2:13" x14ac:dyDescent="0.3">
      <c r="B604" s="11">
        <v>67330566972</v>
      </c>
      <c r="C604" t="s">
        <v>95</v>
      </c>
      <c r="D604" t="s">
        <v>6</v>
      </c>
      <c r="E604" t="s">
        <v>417</v>
      </c>
      <c r="F604" t="s">
        <v>427</v>
      </c>
      <c r="G604" t="s">
        <v>425</v>
      </c>
      <c r="H604" s="1">
        <v>26195</v>
      </c>
      <c r="I604" s="1" t="s">
        <v>430</v>
      </c>
      <c r="J604" t="s">
        <v>444</v>
      </c>
      <c r="K604" s="12">
        <v>29.9</v>
      </c>
      <c r="L604" s="14">
        <f ca="1">TRUNC((TODAY()-TabelaBase[[#This Row],[Data Nascimento]])/365)</f>
        <v>54</v>
      </c>
      <c r="M604" s="14" t="str">
        <f ca="1">HLOOKUP(TabelaBase[[#This Row],[Idade]],$O$3:$R$4,2,TRUE)</f>
        <v>54-70</v>
      </c>
    </row>
    <row r="605" spans="2:13" x14ac:dyDescent="0.3">
      <c r="B605" s="11">
        <v>67780271893</v>
      </c>
      <c r="C605" t="s">
        <v>130</v>
      </c>
      <c r="D605" t="s">
        <v>6</v>
      </c>
      <c r="E605" t="s">
        <v>7</v>
      </c>
      <c r="F605" t="s">
        <v>14</v>
      </c>
      <c r="G605" t="s">
        <v>426</v>
      </c>
      <c r="H605" s="1">
        <v>33389</v>
      </c>
      <c r="I605" s="1" t="s">
        <v>429</v>
      </c>
      <c r="J605" t="s">
        <v>444</v>
      </c>
      <c r="K605" s="12">
        <v>29.9</v>
      </c>
      <c r="L605" s="14">
        <f ca="1">TRUNC((TODAY()-TabelaBase[[#This Row],[Data Nascimento]])/365)</f>
        <v>34</v>
      </c>
      <c r="M605" s="14" t="str">
        <f ca="1">HLOOKUP(TabelaBase[[#This Row],[Idade]],$O$3:$R$4,2,TRUE)</f>
        <v>24-34</v>
      </c>
    </row>
    <row r="606" spans="2:13" x14ac:dyDescent="0.3">
      <c r="B606" s="11">
        <v>67927286591</v>
      </c>
      <c r="C606" t="s">
        <v>415</v>
      </c>
      <c r="D606" t="s">
        <v>6</v>
      </c>
      <c r="E606" t="s">
        <v>417</v>
      </c>
      <c r="F606" t="s">
        <v>12</v>
      </c>
      <c r="G606" t="s">
        <v>425</v>
      </c>
      <c r="H606" s="1">
        <v>26151</v>
      </c>
      <c r="I606" s="1" t="s">
        <v>431</v>
      </c>
      <c r="J606" t="s">
        <v>447</v>
      </c>
      <c r="K606" s="12">
        <v>79.900000000000006</v>
      </c>
      <c r="L606" s="14">
        <f ca="1">TRUNC((TODAY()-TabelaBase[[#This Row],[Data Nascimento]])/365)</f>
        <v>54</v>
      </c>
      <c r="M606" s="14" t="str">
        <f ca="1">HLOOKUP(TabelaBase[[#This Row],[Idade]],$O$3:$R$4,2,TRUE)</f>
        <v>54-70</v>
      </c>
    </row>
    <row r="607" spans="2:13" x14ac:dyDescent="0.3">
      <c r="B607" s="11">
        <v>68287318390</v>
      </c>
      <c r="C607" t="s">
        <v>410</v>
      </c>
      <c r="D607" t="s">
        <v>5</v>
      </c>
      <c r="E607" t="s">
        <v>7</v>
      </c>
      <c r="F607" t="s">
        <v>13</v>
      </c>
      <c r="G607" t="s">
        <v>426</v>
      </c>
      <c r="H607" s="1">
        <v>31684</v>
      </c>
      <c r="I607" s="1" t="s">
        <v>432</v>
      </c>
      <c r="J607" t="s">
        <v>447</v>
      </c>
      <c r="K607" s="12">
        <v>79.900000000000006</v>
      </c>
      <c r="L607" s="14">
        <f ca="1">TRUNC((TODAY()-TabelaBase[[#This Row],[Data Nascimento]])/365)</f>
        <v>39</v>
      </c>
      <c r="M607" s="14" t="str">
        <f ca="1">HLOOKUP(TabelaBase[[#This Row],[Idade]],$O$3:$R$4,2,TRUE)</f>
        <v>35 - 44</v>
      </c>
    </row>
    <row r="608" spans="2:13" x14ac:dyDescent="0.3">
      <c r="B608" s="11">
        <v>68419842651</v>
      </c>
      <c r="C608" t="s">
        <v>194</v>
      </c>
      <c r="D608" t="s">
        <v>5</v>
      </c>
      <c r="E608" t="s">
        <v>417</v>
      </c>
      <c r="F608" t="s">
        <v>13</v>
      </c>
      <c r="G608" t="s">
        <v>425</v>
      </c>
      <c r="H608" s="1">
        <v>32037</v>
      </c>
      <c r="I608" s="1" t="s">
        <v>434</v>
      </c>
      <c r="J608" t="s">
        <v>447</v>
      </c>
      <c r="K608" s="12">
        <v>79.900000000000006</v>
      </c>
      <c r="L608" s="14">
        <f ca="1">TRUNC((TODAY()-TabelaBase[[#This Row],[Data Nascimento]])/365)</f>
        <v>38</v>
      </c>
      <c r="M608" s="14" t="str">
        <f ca="1">HLOOKUP(TabelaBase[[#This Row],[Idade]],$O$3:$R$4,2,TRUE)</f>
        <v>35 - 44</v>
      </c>
    </row>
    <row r="609" spans="2:13" x14ac:dyDescent="0.3">
      <c r="B609" s="11">
        <v>68722509568</v>
      </c>
      <c r="C609" t="s">
        <v>239</v>
      </c>
      <c r="D609" t="s">
        <v>5</v>
      </c>
      <c r="E609" t="s">
        <v>8</v>
      </c>
      <c r="F609" t="s">
        <v>427</v>
      </c>
      <c r="G609" t="s">
        <v>425</v>
      </c>
      <c r="H609" s="1">
        <v>25592</v>
      </c>
      <c r="I609" s="1" t="s">
        <v>430</v>
      </c>
      <c r="J609" t="s">
        <v>444</v>
      </c>
      <c r="K609" s="12">
        <v>29.9</v>
      </c>
      <c r="L609" s="14">
        <f ca="1">TRUNC((TODAY()-TabelaBase[[#This Row],[Data Nascimento]])/365)</f>
        <v>56</v>
      </c>
      <c r="M609" s="14" t="str">
        <f ca="1">HLOOKUP(TabelaBase[[#This Row],[Idade]],$O$3:$R$4,2,TRUE)</f>
        <v>54-70</v>
      </c>
    </row>
    <row r="610" spans="2:13" x14ac:dyDescent="0.3">
      <c r="B610" s="11">
        <v>68759209105</v>
      </c>
      <c r="C610" t="s">
        <v>386</v>
      </c>
      <c r="D610" t="s">
        <v>5</v>
      </c>
      <c r="E610" t="s">
        <v>417</v>
      </c>
      <c r="F610" t="s">
        <v>13</v>
      </c>
      <c r="G610" t="s">
        <v>426</v>
      </c>
      <c r="H610" s="1">
        <v>32608</v>
      </c>
      <c r="I610" s="1" t="s">
        <v>435</v>
      </c>
      <c r="J610" t="s">
        <v>447</v>
      </c>
      <c r="K610" s="12">
        <v>79.900000000000006</v>
      </c>
      <c r="L610" s="14">
        <f ca="1">TRUNC((TODAY()-TabelaBase[[#This Row],[Data Nascimento]])/365)</f>
        <v>36</v>
      </c>
      <c r="M610" s="14" t="str">
        <f ca="1">HLOOKUP(TabelaBase[[#This Row],[Idade]],$O$3:$R$4,2,TRUE)</f>
        <v>35 - 44</v>
      </c>
    </row>
    <row r="611" spans="2:13" x14ac:dyDescent="0.3">
      <c r="B611" s="11">
        <v>68766514941</v>
      </c>
      <c r="C611" t="s">
        <v>198</v>
      </c>
      <c r="D611" t="s">
        <v>5</v>
      </c>
      <c r="E611" t="s">
        <v>417</v>
      </c>
      <c r="F611" t="s">
        <v>11</v>
      </c>
      <c r="G611" t="s">
        <v>426</v>
      </c>
      <c r="H611" s="1">
        <v>31861</v>
      </c>
      <c r="I611" s="1" t="s">
        <v>436</v>
      </c>
      <c r="J611" t="s">
        <v>447</v>
      </c>
      <c r="K611" s="12">
        <v>79.900000000000006</v>
      </c>
      <c r="L611" s="14">
        <f ca="1">TRUNC((TODAY()-TabelaBase[[#This Row],[Data Nascimento]])/365)</f>
        <v>38</v>
      </c>
      <c r="M611" s="14" t="str">
        <f ca="1">HLOOKUP(TabelaBase[[#This Row],[Idade]],$O$3:$R$4,2,TRUE)</f>
        <v>35 - 44</v>
      </c>
    </row>
    <row r="612" spans="2:13" x14ac:dyDescent="0.3">
      <c r="B612" s="11">
        <v>69009325528</v>
      </c>
      <c r="C612" t="s">
        <v>384</v>
      </c>
      <c r="D612" t="s">
        <v>5</v>
      </c>
      <c r="E612" t="s">
        <v>417</v>
      </c>
      <c r="F612" t="s">
        <v>13</v>
      </c>
      <c r="G612" t="s">
        <v>425</v>
      </c>
      <c r="H612" s="1">
        <v>30470</v>
      </c>
      <c r="I612" s="1" t="s">
        <v>430</v>
      </c>
      <c r="J612" t="s">
        <v>445</v>
      </c>
      <c r="K612" s="12">
        <v>35.9</v>
      </c>
      <c r="L612" s="14">
        <f ca="1">TRUNC((TODAY()-TabelaBase[[#This Row],[Data Nascimento]])/365)</f>
        <v>42</v>
      </c>
      <c r="M612" s="14" t="str">
        <f ca="1">HLOOKUP(TabelaBase[[#This Row],[Idade]],$O$3:$R$4,2,TRUE)</f>
        <v>35 - 44</v>
      </c>
    </row>
    <row r="613" spans="2:13" x14ac:dyDescent="0.3">
      <c r="B613" s="11">
        <v>69020558638</v>
      </c>
      <c r="C613" t="s">
        <v>346</v>
      </c>
      <c r="D613" t="s">
        <v>6</v>
      </c>
      <c r="E613" t="s">
        <v>417</v>
      </c>
      <c r="F613" t="s">
        <v>14</v>
      </c>
      <c r="G613" t="s">
        <v>426</v>
      </c>
      <c r="H613" s="1">
        <v>30488</v>
      </c>
      <c r="I613" s="1" t="s">
        <v>435</v>
      </c>
      <c r="J613" t="s">
        <v>444</v>
      </c>
      <c r="K613" s="12">
        <v>29.9</v>
      </c>
      <c r="L613" s="14">
        <f ca="1">TRUNC((TODAY()-TabelaBase[[#This Row],[Data Nascimento]])/365)</f>
        <v>42</v>
      </c>
      <c r="M613" s="14" t="str">
        <f ca="1">HLOOKUP(TabelaBase[[#This Row],[Idade]],$O$3:$R$4,2,TRUE)</f>
        <v>35 - 44</v>
      </c>
    </row>
    <row r="614" spans="2:13" x14ac:dyDescent="0.3">
      <c r="B614" s="11">
        <v>69160901332</v>
      </c>
      <c r="C614" t="s">
        <v>328</v>
      </c>
      <c r="D614" t="s">
        <v>6</v>
      </c>
      <c r="E614" t="s">
        <v>416</v>
      </c>
      <c r="F614" t="s">
        <v>14</v>
      </c>
      <c r="G614" t="s">
        <v>425</v>
      </c>
      <c r="H614" s="1">
        <v>29958</v>
      </c>
      <c r="I614" s="1" t="s">
        <v>436</v>
      </c>
      <c r="J614" t="s">
        <v>446</v>
      </c>
      <c r="K614" s="12">
        <v>9.9</v>
      </c>
      <c r="L614" s="14">
        <f ca="1">TRUNC((TODAY()-TabelaBase[[#This Row],[Data Nascimento]])/365)</f>
        <v>44</v>
      </c>
      <c r="M614" s="14" t="str">
        <f ca="1">HLOOKUP(TabelaBase[[#This Row],[Idade]],$O$3:$R$4,2,TRUE)</f>
        <v>44 - 54</v>
      </c>
    </row>
    <row r="615" spans="2:13" x14ac:dyDescent="0.3">
      <c r="B615" s="11">
        <v>69275333938</v>
      </c>
      <c r="C615" t="s">
        <v>137</v>
      </c>
      <c r="D615" t="s">
        <v>6</v>
      </c>
      <c r="E615" t="s">
        <v>7</v>
      </c>
      <c r="F615" t="s">
        <v>427</v>
      </c>
      <c r="G615" t="s">
        <v>425</v>
      </c>
      <c r="H615" s="1">
        <v>27242</v>
      </c>
      <c r="I615" s="1" t="s">
        <v>433</v>
      </c>
      <c r="J615" t="s">
        <v>445</v>
      </c>
      <c r="K615" s="12">
        <v>35.9</v>
      </c>
      <c r="L615" s="14">
        <f ca="1">TRUNC((TODAY()-TabelaBase[[#This Row],[Data Nascimento]])/365)</f>
        <v>51</v>
      </c>
      <c r="M615" s="14" t="str">
        <f ca="1">HLOOKUP(TabelaBase[[#This Row],[Idade]],$O$3:$R$4,2,TRUE)</f>
        <v>44 - 54</v>
      </c>
    </row>
    <row r="616" spans="2:13" x14ac:dyDescent="0.3">
      <c r="B616" s="11">
        <v>69591068465</v>
      </c>
      <c r="C616" t="s">
        <v>353</v>
      </c>
      <c r="D616" t="s">
        <v>5</v>
      </c>
      <c r="E616" t="s">
        <v>7</v>
      </c>
      <c r="F616" t="s">
        <v>427</v>
      </c>
      <c r="G616" t="s">
        <v>424</v>
      </c>
      <c r="H616" s="1">
        <v>24675</v>
      </c>
      <c r="I616" s="1" t="s">
        <v>433</v>
      </c>
      <c r="J616" t="s">
        <v>445</v>
      </c>
      <c r="K616" s="12">
        <v>35.9</v>
      </c>
      <c r="L616" s="14">
        <f ca="1">TRUNC((TODAY()-TabelaBase[[#This Row],[Data Nascimento]])/365)</f>
        <v>58</v>
      </c>
      <c r="M616" s="14" t="str">
        <f ca="1">HLOOKUP(TabelaBase[[#This Row],[Idade]],$O$3:$R$4,2,TRUE)</f>
        <v>54-70</v>
      </c>
    </row>
    <row r="617" spans="2:13" x14ac:dyDescent="0.3">
      <c r="B617" s="11">
        <v>69711643192</v>
      </c>
      <c r="C617" t="s">
        <v>326</v>
      </c>
      <c r="D617" t="s">
        <v>6</v>
      </c>
      <c r="E617" t="s">
        <v>417</v>
      </c>
      <c r="F617" t="s">
        <v>13</v>
      </c>
      <c r="G617" t="s">
        <v>426</v>
      </c>
      <c r="H617" s="1">
        <v>33087</v>
      </c>
      <c r="I617" s="1" t="s">
        <v>433</v>
      </c>
      <c r="J617" t="s">
        <v>446</v>
      </c>
      <c r="K617" s="12">
        <v>9.9</v>
      </c>
      <c r="L617" s="14">
        <f ca="1">TRUNC((TODAY()-TabelaBase[[#This Row],[Data Nascimento]])/365)</f>
        <v>35</v>
      </c>
      <c r="M617" s="14" t="str">
        <f ca="1">HLOOKUP(TabelaBase[[#This Row],[Idade]],$O$3:$R$4,2,TRUE)</f>
        <v>35 - 44</v>
      </c>
    </row>
    <row r="618" spans="2:13" x14ac:dyDescent="0.3">
      <c r="B618" s="11">
        <v>69832499336</v>
      </c>
      <c r="C618" t="s">
        <v>297</v>
      </c>
      <c r="D618" t="s">
        <v>5</v>
      </c>
      <c r="E618" t="s">
        <v>7</v>
      </c>
      <c r="F618" t="s">
        <v>427</v>
      </c>
      <c r="G618" t="s">
        <v>425</v>
      </c>
      <c r="H618" s="1">
        <v>32869</v>
      </c>
      <c r="I618" s="1" t="s">
        <v>433</v>
      </c>
      <c r="J618" t="s">
        <v>446</v>
      </c>
      <c r="K618" s="12">
        <v>9.9</v>
      </c>
      <c r="L618" s="14">
        <f ca="1">TRUNC((TODAY()-TabelaBase[[#This Row],[Data Nascimento]])/365)</f>
        <v>36</v>
      </c>
      <c r="M618" s="14" t="str">
        <f ca="1">HLOOKUP(TabelaBase[[#This Row],[Idade]],$O$3:$R$4,2,TRUE)</f>
        <v>35 - 44</v>
      </c>
    </row>
    <row r="619" spans="2:13" x14ac:dyDescent="0.3">
      <c r="B619" s="11">
        <v>69859227518</v>
      </c>
      <c r="C619" t="s">
        <v>205</v>
      </c>
      <c r="D619" t="s">
        <v>5</v>
      </c>
      <c r="E619" t="s">
        <v>7</v>
      </c>
      <c r="F619" t="s">
        <v>427</v>
      </c>
      <c r="G619" t="s">
        <v>425</v>
      </c>
      <c r="H619" s="1">
        <v>33151</v>
      </c>
      <c r="I619" s="1" t="s">
        <v>433</v>
      </c>
      <c r="J619" t="s">
        <v>445</v>
      </c>
      <c r="K619" s="12">
        <v>35.9</v>
      </c>
      <c r="L619" s="14">
        <f ca="1">TRUNC((TODAY()-TabelaBase[[#This Row],[Data Nascimento]])/365)</f>
        <v>35</v>
      </c>
      <c r="M619" s="14" t="str">
        <f ca="1">HLOOKUP(TabelaBase[[#This Row],[Idade]],$O$3:$R$4,2,TRUE)</f>
        <v>35 - 44</v>
      </c>
    </row>
    <row r="620" spans="2:13" x14ac:dyDescent="0.3">
      <c r="B620" s="11">
        <v>70125809974</v>
      </c>
      <c r="C620" t="s">
        <v>304</v>
      </c>
      <c r="D620" t="s">
        <v>6</v>
      </c>
      <c r="E620" t="s">
        <v>417</v>
      </c>
      <c r="F620" t="s">
        <v>14</v>
      </c>
      <c r="G620" t="s">
        <v>425</v>
      </c>
      <c r="H620" s="1">
        <v>25060</v>
      </c>
      <c r="I620" s="1" t="s">
        <v>433</v>
      </c>
      <c r="J620" t="s">
        <v>444</v>
      </c>
      <c r="K620" s="12">
        <v>29.9</v>
      </c>
      <c r="L620" s="14">
        <f ca="1">TRUNC((TODAY()-TabelaBase[[#This Row],[Data Nascimento]])/365)</f>
        <v>57</v>
      </c>
      <c r="M620" s="14" t="str">
        <f ca="1">HLOOKUP(TabelaBase[[#This Row],[Idade]],$O$3:$R$4,2,TRUE)</f>
        <v>54-70</v>
      </c>
    </row>
    <row r="621" spans="2:13" x14ac:dyDescent="0.3">
      <c r="B621" s="11">
        <v>70992659687</v>
      </c>
      <c r="C621" t="s">
        <v>43</v>
      </c>
      <c r="D621" t="s">
        <v>6</v>
      </c>
      <c r="E621" t="s">
        <v>7</v>
      </c>
      <c r="F621" t="s">
        <v>12</v>
      </c>
      <c r="G621" t="s">
        <v>424</v>
      </c>
      <c r="H621" s="1">
        <v>29124</v>
      </c>
      <c r="I621" s="1" t="s">
        <v>433</v>
      </c>
      <c r="J621" t="s">
        <v>446</v>
      </c>
      <c r="K621" s="12">
        <v>9.9</v>
      </c>
      <c r="L621" s="14">
        <f ca="1">TRUNC((TODAY()-TabelaBase[[#This Row],[Data Nascimento]])/365)</f>
        <v>46</v>
      </c>
      <c r="M621" s="14" t="str">
        <f ca="1">HLOOKUP(TabelaBase[[#This Row],[Idade]],$O$3:$R$4,2,TRUE)</f>
        <v>44 - 54</v>
      </c>
    </row>
    <row r="622" spans="2:13" x14ac:dyDescent="0.3">
      <c r="B622" s="11">
        <v>71237243348</v>
      </c>
      <c r="C622" t="s">
        <v>177</v>
      </c>
      <c r="D622" t="s">
        <v>5</v>
      </c>
      <c r="E622" t="s">
        <v>7</v>
      </c>
      <c r="F622" t="s">
        <v>427</v>
      </c>
      <c r="G622" t="s">
        <v>425</v>
      </c>
      <c r="H622" s="1">
        <v>31235</v>
      </c>
      <c r="I622" s="1" t="s">
        <v>433</v>
      </c>
      <c r="J622" t="s">
        <v>446</v>
      </c>
      <c r="K622" s="12">
        <v>9.9</v>
      </c>
      <c r="L622" s="14">
        <f ca="1">TRUNC((TODAY()-TabelaBase[[#This Row],[Data Nascimento]])/365)</f>
        <v>40</v>
      </c>
      <c r="M622" s="14" t="str">
        <f ca="1">HLOOKUP(TabelaBase[[#This Row],[Idade]],$O$3:$R$4,2,TRUE)</f>
        <v>35 - 44</v>
      </c>
    </row>
    <row r="623" spans="2:13" x14ac:dyDescent="0.3">
      <c r="B623" s="11">
        <v>71277357983</v>
      </c>
      <c r="C623" t="s">
        <v>148</v>
      </c>
      <c r="D623" t="s">
        <v>6</v>
      </c>
      <c r="E623" t="s">
        <v>416</v>
      </c>
      <c r="F623" t="s">
        <v>14</v>
      </c>
      <c r="G623" t="s">
        <v>425</v>
      </c>
      <c r="H623" s="1">
        <v>24633</v>
      </c>
      <c r="I623" s="1" t="s">
        <v>433</v>
      </c>
      <c r="J623" t="s">
        <v>444</v>
      </c>
      <c r="K623" s="12">
        <v>29.9</v>
      </c>
      <c r="L623" s="14">
        <f ca="1">TRUNC((TODAY()-TabelaBase[[#This Row],[Data Nascimento]])/365)</f>
        <v>58</v>
      </c>
      <c r="M623" s="14" t="str">
        <f ca="1">HLOOKUP(TabelaBase[[#This Row],[Idade]],$O$3:$R$4,2,TRUE)</f>
        <v>54-70</v>
      </c>
    </row>
    <row r="624" spans="2:13" x14ac:dyDescent="0.3">
      <c r="B624" s="11">
        <v>71408591056</v>
      </c>
      <c r="C624" t="s">
        <v>162</v>
      </c>
      <c r="D624" t="s">
        <v>5</v>
      </c>
      <c r="E624" t="s">
        <v>8</v>
      </c>
      <c r="F624" t="s">
        <v>11</v>
      </c>
      <c r="G624" t="s">
        <v>424</v>
      </c>
      <c r="H624" s="1">
        <v>29646</v>
      </c>
      <c r="I624" s="1" t="s">
        <v>429</v>
      </c>
      <c r="J624" t="s">
        <v>447</v>
      </c>
      <c r="K624" s="12">
        <v>79.900000000000006</v>
      </c>
      <c r="L624" s="14">
        <f ca="1">TRUNC((TODAY()-TabelaBase[[#This Row],[Data Nascimento]])/365)</f>
        <v>44</v>
      </c>
      <c r="M624" s="14" t="str">
        <f ca="1">HLOOKUP(TabelaBase[[#This Row],[Idade]],$O$3:$R$4,2,TRUE)</f>
        <v>44 - 54</v>
      </c>
    </row>
    <row r="625" spans="2:13" x14ac:dyDescent="0.3">
      <c r="B625" s="11">
        <v>71434327238</v>
      </c>
      <c r="C625" t="s">
        <v>352</v>
      </c>
      <c r="D625" t="s">
        <v>6</v>
      </c>
      <c r="E625" t="s">
        <v>8</v>
      </c>
      <c r="F625" t="s">
        <v>14</v>
      </c>
      <c r="G625" t="s">
        <v>425</v>
      </c>
      <c r="H625" s="1">
        <v>32926</v>
      </c>
      <c r="I625" s="1" t="s">
        <v>432</v>
      </c>
      <c r="J625" t="s">
        <v>444</v>
      </c>
      <c r="K625" s="12">
        <v>29.9</v>
      </c>
      <c r="L625" s="14">
        <f ca="1">TRUNC((TODAY()-TabelaBase[[#This Row],[Data Nascimento]])/365)</f>
        <v>35</v>
      </c>
      <c r="M625" s="14" t="str">
        <f ca="1">HLOOKUP(TabelaBase[[#This Row],[Idade]],$O$3:$R$4,2,TRUE)</f>
        <v>35 - 44</v>
      </c>
    </row>
    <row r="626" spans="2:13" x14ac:dyDescent="0.3">
      <c r="B626" s="11">
        <v>71472265989</v>
      </c>
      <c r="C626" t="s">
        <v>360</v>
      </c>
      <c r="D626" t="s">
        <v>6</v>
      </c>
      <c r="E626" t="s">
        <v>7</v>
      </c>
      <c r="F626" t="s">
        <v>13</v>
      </c>
      <c r="G626" t="s">
        <v>426</v>
      </c>
      <c r="H626" s="1">
        <v>29626</v>
      </c>
      <c r="I626" s="1" t="s">
        <v>436</v>
      </c>
      <c r="J626" t="s">
        <v>445</v>
      </c>
      <c r="K626" s="12">
        <v>35.9</v>
      </c>
      <c r="L626" s="14">
        <f ca="1">TRUNC((TODAY()-TabelaBase[[#This Row],[Data Nascimento]])/365)</f>
        <v>44</v>
      </c>
      <c r="M626" s="14" t="str">
        <f ca="1">HLOOKUP(TabelaBase[[#This Row],[Idade]],$O$3:$R$4,2,TRUE)</f>
        <v>44 - 54</v>
      </c>
    </row>
    <row r="627" spans="2:13" x14ac:dyDescent="0.3">
      <c r="B627" s="11">
        <v>71629613903</v>
      </c>
      <c r="C627" t="s">
        <v>101</v>
      </c>
      <c r="D627" t="s">
        <v>6</v>
      </c>
      <c r="E627" t="s">
        <v>417</v>
      </c>
      <c r="F627" t="s">
        <v>427</v>
      </c>
      <c r="G627" t="s">
        <v>425</v>
      </c>
      <c r="H627" s="1">
        <v>36489</v>
      </c>
      <c r="I627" s="1" t="s">
        <v>436</v>
      </c>
      <c r="J627" t="s">
        <v>445</v>
      </c>
      <c r="K627" s="12">
        <v>35.9</v>
      </c>
      <c r="L627" s="14">
        <f ca="1">TRUNC((TODAY()-TabelaBase[[#This Row],[Data Nascimento]])/365)</f>
        <v>26</v>
      </c>
      <c r="M627" s="14" t="str">
        <f ca="1">HLOOKUP(TabelaBase[[#This Row],[Idade]],$O$3:$R$4,2,TRUE)</f>
        <v>24-34</v>
      </c>
    </row>
    <row r="628" spans="2:13" x14ac:dyDescent="0.3">
      <c r="B628" s="11">
        <v>71989553091</v>
      </c>
      <c r="C628" t="s">
        <v>61</v>
      </c>
      <c r="D628" t="s">
        <v>6</v>
      </c>
      <c r="E628" t="s">
        <v>417</v>
      </c>
      <c r="F628" t="s">
        <v>427</v>
      </c>
      <c r="G628" t="s">
        <v>425</v>
      </c>
      <c r="H628" s="1">
        <v>23510</v>
      </c>
      <c r="I628" s="1" t="s">
        <v>436</v>
      </c>
      <c r="J628" t="s">
        <v>445</v>
      </c>
      <c r="K628" s="12">
        <v>35.9</v>
      </c>
      <c r="L628" s="14">
        <f ca="1">TRUNC((TODAY()-TabelaBase[[#This Row],[Data Nascimento]])/365)</f>
        <v>61</v>
      </c>
      <c r="M628" s="14" t="str">
        <f ca="1">HLOOKUP(TabelaBase[[#This Row],[Idade]],$O$3:$R$4,2,TRUE)</f>
        <v>54-70</v>
      </c>
    </row>
    <row r="629" spans="2:13" x14ac:dyDescent="0.3">
      <c r="B629" s="11">
        <v>72103743000</v>
      </c>
      <c r="C629" t="s">
        <v>397</v>
      </c>
      <c r="D629" t="s">
        <v>6</v>
      </c>
      <c r="E629" t="s">
        <v>418</v>
      </c>
      <c r="F629" t="s">
        <v>427</v>
      </c>
      <c r="G629" t="s">
        <v>425</v>
      </c>
      <c r="H629" s="1">
        <v>28236</v>
      </c>
      <c r="I629" s="1" t="s">
        <v>436</v>
      </c>
      <c r="J629" t="s">
        <v>445</v>
      </c>
      <c r="K629" s="12">
        <v>35.9</v>
      </c>
      <c r="L629" s="14">
        <f ca="1">TRUNC((TODAY()-TabelaBase[[#This Row],[Data Nascimento]])/365)</f>
        <v>48</v>
      </c>
      <c r="M629" s="14" t="str">
        <f ca="1">HLOOKUP(TabelaBase[[#This Row],[Idade]],$O$3:$R$4,2,TRUE)</f>
        <v>44 - 54</v>
      </c>
    </row>
    <row r="630" spans="2:13" x14ac:dyDescent="0.3">
      <c r="B630" s="11">
        <v>72578545172</v>
      </c>
      <c r="C630" t="s">
        <v>22</v>
      </c>
      <c r="D630" t="s">
        <v>5</v>
      </c>
      <c r="E630" t="s">
        <v>8</v>
      </c>
      <c r="F630" t="s">
        <v>427</v>
      </c>
      <c r="G630" t="s">
        <v>424</v>
      </c>
      <c r="H630" s="1">
        <v>29784</v>
      </c>
      <c r="I630" s="1" t="s">
        <v>436</v>
      </c>
      <c r="J630" t="s">
        <v>444</v>
      </c>
      <c r="K630" s="12">
        <v>29.9</v>
      </c>
      <c r="L630" s="14">
        <f ca="1">TRUNC((TODAY()-TabelaBase[[#This Row],[Data Nascimento]])/365)</f>
        <v>44</v>
      </c>
      <c r="M630" s="14" t="str">
        <f ca="1">HLOOKUP(TabelaBase[[#This Row],[Idade]],$O$3:$R$4,2,TRUE)</f>
        <v>44 - 54</v>
      </c>
    </row>
    <row r="631" spans="2:13" x14ac:dyDescent="0.3">
      <c r="B631" s="11">
        <v>72653571309</v>
      </c>
      <c r="C631" t="s">
        <v>269</v>
      </c>
      <c r="D631" t="s">
        <v>6</v>
      </c>
      <c r="E631" t="s">
        <v>418</v>
      </c>
      <c r="F631" t="s">
        <v>427</v>
      </c>
      <c r="G631" t="s">
        <v>426</v>
      </c>
      <c r="H631" s="1">
        <v>22002</v>
      </c>
      <c r="I631" s="1" t="s">
        <v>436</v>
      </c>
      <c r="J631" t="s">
        <v>445</v>
      </c>
      <c r="K631" s="12">
        <v>35.9</v>
      </c>
      <c r="L631" s="14">
        <f ca="1">TRUNC((TODAY()-TabelaBase[[#This Row],[Data Nascimento]])/365)</f>
        <v>65</v>
      </c>
      <c r="M631" s="14" t="str">
        <f ca="1">HLOOKUP(TabelaBase[[#This Row],[Idade]],$O$3:$R$4,2,TRUE)</f>
        <v>54-70</v>
      </c>
    </row>
    <row r="632" spans="2:13" x14ac:dyDescent="0.3">
      <c r="B632" s="11">
        <v>72680945462</v>
      </c>
      <c r="C632" t="s">
        <v>260</v>
      </c>
      <c r="D632" t="s">
        <v>6</v>
      </c>
      <c r="E632" t="s">
        <v>7</v>
      </c>
      <c r="F632" t="s">
        <v>13</v>
      </c>
      <c r="G632" t="s">
        <v>425</v>
      </c>
      <c r="H632" s="1">
        <v>33338</v>
      </c>
      <c r="I632" s="1" t="s">
        <v>435</v>
      </c>
      <c r="J632" t="s">
        <v>446</v>
      </c>
      <c r="K632" s="12">
        <v>9.9</v>
      </c>
      <c r="L632" s="14">
        <f ca="1">TRUNC((TODAY()-TabelaBase[[#This Row],[Data Nascimento]])/365)</f>
        <v>34</v>
      </c>
      <c r="M632" s="14" t="str">
        <f ca="1">HLOOKUP(TabelaBase[[#This Row],[Idade]],$O$3:$R$4,2,TRUE)</f>
        <v>24-34</v>
      </c>
    </row>
    <row r="633" spans="2:13" x14ac:dyDescent="0.3">
      <c r="B633" s="11">
        <v>72766768810</v>
      </c>
      <c r="C633" t="s">
        <v>359</v>
      </c>
      <c r="D633" t="s">
        <v>5</v>
      </c>
      <c r="E633" t="s">
        <v>8</v>
      </c>
      <c r="F633" t="s">
        <v>427</v>
      </c>
      <c r="G633" t="s">
        <v>425</v>
      </c>
      <c r="H633" s="1">
        <v>30214</v>
      </c>
      <c r="I633" s="1" t="s">
        <v>433</v>
      </c>
      <c r="J633" t="s">
        <v>444</v>
      </c>
      <c r="K633" s="12">
        <v>29.9</v>
      </c>
      <c r="L633" s="14">
        <f ca="1">TRUNC((TODAY()-TabelaBase[[#This Row],[Data Nascimento]])/365)</f>
        <v>43</v>
      </c>
      <c r="M633" s="14" t="str">
        <f ca="1">HLOOKUP(TabelaBase[[#This Row],[Idade]],$O$3:$R$4,2,TRUE)</f>
        <v>35 - 44</v>
      </c>
    </row>
    <row r="634" spans="2:13" x14ac:dyDescent="0.3">
      <c r="B634" s="11">
        <v>72900858413</v>
      </c>
      <c r="C634" t="s">
        <v>268</v>
      </c>
      <c r="D634" t="s">
        <v>6</v>
      </c>
      <c r="E634" t="s">
        <v>416</v>
      </c>
      <c r="F634" t="s">
        <v>14</v>
      </c>
      <c r="G634" t="s">
        <v>425</v>
      </c>
      <c r="H634" s="1">
        <v>29873</v>
      </c>
      <c r="I634" s="1" t="s">
        <v>433</v>
      </c>
      <c r="J634" t="s">
        <v>444</v>
      </c>
      <c r="K634" s="12">
        <v>29.9</v>
      </c>
      <c r="L634" s="14">
        <f ca="1">TRUNC((TODAY()-TabelaBase[[#This Row],[Data Nascimento]])/365)</f>
        <v>44</v>
      </c>
      <c r="M634" s="14" t="str">
        <f ca="1">HLOOKUP(TabelaBase[[#This Row],[Idade]],$O$3:$R$4,2,TRUE)</f>
        <v>44 - 54</v>
      </c>
    </row>
    <row r="635" spans="2:13" x14ac:dyDescent="0.3">
      <c r="B635" s="11">
        <v>73430417324</v>
      </c>
      <c r="C635" t="s">
        <v>167</v>
      </c>
      <c r="D635" t="s">
        <v>6</v>
      </c>
      <c r="E635" t="s">
        <v>7</v>
      </c>
      <c r="F635" t="s">
        <v>427</v>
      </c>
      <c r="G635" t="s">
        <v>425</v>
      </c>
      <c r="H635" s="1">
        <v>29967</v>
      </c>
      <c r="I635" s="1" t="s">
        <v>433</v>
      </c>
      <c r="J635" t="s">
        <v>444</v>
      </c>
      <c r="K635" s="12">
        <v>29.9</v>
      </c>
      <c r="L635" s="14">
        <f ca="1">TRUNC((TODAY()-TabelaBase[[#This Row],[Data Nascimento]])/365)</f>
        <v>44</v>
      </c>
      <c r="M635" s="14" t="str">
        <f ca="1">HLOOKUP(TabelaBase[[#This Row],[Idade]],$O$3:$R$4,2,TRUE)</f>
        <v>44 - 54</v>
      </c>
    </row>
    <row r="636" spans="2:13" x14ac:dyDescent="0.3">
      <c r="B636" s="11">
        <v>73629904035</v>
      </c>
      <c r="C636" t="s">
        <v>281</v>
      </c>
      <c r="D636" t="s">
        <v>5</v>
      </c>
      <c r="E636" t="s">
        <v>417</v>
      </c>
      <c r="F636" t="s">
        <v>427</v>
      </c>
      <c r="G636" t="s">
        <v>425</v>
      </c>
      <c r="H636" s="1">
        <v>30490</v>
      </c>
      <c r="I636" s="1" t="s">
        <v>433</v>
      </c>
      <c r="J636" t="s">
        <v>445</v>
      </c>
      <c r="K636" s="12">
        <v>35.9</v>
      </c>
      <c r="L636" s="14">
        <f ca="1">TRUNC((TODAY()-TabelaBase[[#This Row],[Data Nascimento]])/365)</f>
        <v>42</v>
      </c>
      <c r="M636" s="14" t="str">
        <f ca="1">HLOOKUP(TabelaBase[[#This Row],[Idade]],$O$3:$R$4,2,TRUE)</f>
        <v>35 - 44</v>
      </c>
    </row>
    <row r="637" spans="2:13" x14ac:dyDescent="0.3">
      <c r="B637" s="11">
        <v>73925142939</v>
      </c>
      <c r="C637" t="s">
        <v>102</v>
      </c>
      <c r="D637" t="s">
        <v>6</v>
      </c>
      <c r="E637" t="s">
        <v>8</v>
      </c>
      <c r="F637" t="s">
        <v>11</v>
      </c>
      <c r="G637" t="s">
        <v>424</v>
      </c>
      <c r="H637" s="1">
        <v>35640</v>
      </c>
      <c r="I637" s="1" t="s">
        <v>433</v>
      </c>
      <c r="J637" t="s">
        <v>447</v>
      </c>
      <c r="K637" s="12">
        <v>79.900000000000006</v>
      </c>
      <c r="L637" s="14">
        <f ca="1">TRUNC((TODAY()-TabelaBase[[#This Row],[Data Nascimento]])/365)</f>
        <v>28</v>
      </c>
      <c r="M637" s="14" t="str">
        <f ca="1">HLOOKUP(TabelaBase[[#This Row],[Idade]],$O$3:$R$4,2,TRUE)</f>
        <v>24-34</v>
      </c>
    </row>
    <row r="638" spans="2:13" x14ac:dyDescent="0.3">
      <c r="B638" s="11">
        <v>73947215075</v>
      </c>
      <c r="C638" t="s">
        <v>55</v>
      </c>
      <c r="D638" t="s">
        <v>6</v>
      </c>
      <c r="E638" t="s">
        <v>417</v>
      </c>
      <c r="F638" t="s">
        <v>12</v>
      </c>
      <c r="G638" t="s">
        <v>425</v>
      </c>
      <c r="H638" s="1">
        <v>27917</v>
      </c>
      <c r="I638" s="1" t="s">
        <v>430</v>
      </c>
      <c r="J638" t="s">
        <v>447</v>
      </c>
      <c r="K638" s="12">
        <v>79.900000000000006</v>
      </c>
      <c r="L638" s="14">
        <f ca="1">TRUNC((TODAY()-TabelaBase[[#This Row],[Data Nascimento]])/365)</f>
        <v>49</v>
      </c>
      <c r="M638" s="14" t="str">
        <f ca="1">HLOOKUP(TabelaBase[[#This Row],[Idade]],$O$3:$R$4,2,TRUE)</f>
        <v>44 - 54</v>
      </c>
    </row>
    <row r="639" spans="2:13" x14ac:dyDescent="0.3">
      <c r="B639" s="11">
        <v>74365444411</v>
      </c>
      <c r="C639" t="s">
        <v>399</v>
      </c>
      <c r="D639" t="s">
        <v>6</v>
      </c>
      <c r="E639" t="s">
        <v>8</v>
      </c>
      <c r="F639" t="s">
        <v>9</v>
      </c>
      <c r="G639" t="s">
        <v>425</v>
      </c>
      <c r="H639" s="1">
        <v>24800</v>
      </c>
      <c r="I639" s="1" t="s">
        <v>429</v>
      </c>
      <c r="J639" t="s">
        <v>446</v>
      </c>
      <c r="K639" s="12">
        <v>9.9</v>
      </c>
      <c r="L639" s="14">
        <f ca="1">TRUNC((TODAY()-TabelaBase[[#This Row],[Data Nascimento]])/365)</f>
        <v>58</v>
      </c>
      <c r="M639" s="14" t="str">
        <f ca="1">HLOOKUP(TabelaBase[[#This Row],[Idade]],$O$3:$R$4,2,TRUE)</f>
        <v>54-70</v>
      </c>
    </row>
    <row r="640" spans="2:13" x14ac:dyDescent="0.3">
      <c r="B640" s="11">
        <v>74394995473</v>
      </c>
      <c r="C640" t="s">
        <v>124</v>
      </c>
      <c r="D640" t="s">
        <v>6</v>
      </c>
      <c r="E640" t="s">
        <v>418</v>
      </c>
      <c r="F640" t="s">
        <v>14</v>
      </c>
      <c r="G640" t="s">
        <v>425</v>
      </c>
      <c r="H640" s="1">
        <v>30751</v>
      </c>
      <c r="I640" s="1" t="s">
        <v>431</v>
      </c>
      <c r="J640" t="s">
        <v>444</v>
      </c>
      <c r="K640" s="12">
        <v>29.9</v>
      </c>
      <c r="L640" s="14">
        <f ca="1">TRUNC((TODAY()-TabelaBase[[#This Row],[Data Nascimento]])/365)</f>
        <v>41</v>
      </c>
      <c r="M640" s="14" t="str">
        <f ca="1">HLOOKUP(TabelaBase[[#This Row],[Idade]],$O$3:$R$4,2,TRUE)</f>
        <v>35 - 44</v>
      </c>
    </row>
    <row r="641" spans="2:13" x14ac:dyDescent="0.3">
      <c r="B641" s="11">
        <v>74716763098</v>
      </c>
      <c r="C641" t="s">
        <v>88</v>
      </c>
      <c r="D641" t="s">
        <v>5</v>
      </c>
      <c r="E641" t="s">
        <v>416</v>
      </c>
      <c r="F641" t="s">
        <v>14</v>
      </c>
      <c r="G641" t="s">
        <v>425</v>
      </c>
      <c r="H641" s="1">
        <v>28008</v>
      </c>
      <c r="I641" s="1" t="s">
        <v>432</v>
      </c>
      <c r="J641" t="s">
        <v>446</v>
      </c>
      <c r="K641" s="12">
        <v>9.9</v>
      </c>
      <c r="L641" s="14">
        <f ca="1">TRUNC((TODAY()-TabelaBase[[#This Row],[Data Nascimento]])/365)</f>
        <v>49</v>
      </c>
      <c r="M641" s="14" t="str">
        <f ca="1">HLOOKUP(TabelaBase[[#This Row],[Idade]],$O$3:$R$4,2,TRUE)</f>
        <v>44 - 54</v>
      </c>
    </row>
    <row r="642" spans="2:13" x14ac:dyDescent="0.3">
      <c r="B642" s="11">
        <v>75105956259</v>
      </c>
      <c r="C642" t="s">
        <v>78</v>
      </c>
      <c r="D642" t="s">
        <v>5</v>
      </c>
      <c r="E642" t="s">
        <v>417</v>
      </c>
      <c r="F642" t="s">
        <v>11</v>
      </c>
      <c r="G642" t="s">
        <v>426</v>
      </c>
      <c r="H642" s="1">
        <v>34394</v>
      </c>
      <c r="I642" s="1" t="s">
        <v>434</v>
      </c>
      <c r="J642" t="s">
        <v>447</v>
      </c>
      <c r="K642" s="12">
        <v>79.900000000000006</v>
      </c>
      <c r="L642" s="14">
        <f ca="1">TRUNC((TODAY()-TabelaBase[[#This Row],[Data Nascimento]])/365)</f>
        <v>31</v>
      </c>
      <c r="M642" s="14" t="str">
        <f ca="1">HLOOKUP(TabelaBase[[#This Row],[Idade]],$O$3:$R$4,2,TRUE)</f>
        <v>24-34</v>
      </c>
    </row>
    <row r="643" spans="2:13" x14ac:dyDescent="0.3">
      <c r="B643" s="11">
        <v>75196774664</v>
      </c>
      <c r="C643" t="s">
        <v>145</v>
      </c>
      <c r="D643" t="s">
        <v>6</v>
      </c>
      <c r="E643" t="s">
        <v>7</v>
      </c>
      <c r="F643" t="s">
        <v>12</v>
      </c>
      <c r="G643" t="s">
        <v>425</v>
      </c>
      <c r="H643" s="1">
        <v>22207</v>
      </c>
      <c r="I643" s="1" t="s">
        <v>430</v>
      </c>
      <c r="J643" t="s">
        <v>445</v>
      </c>
      <c r="K643" s="12">
        <v>35.9</v>
      </c>
      <c r="L643" s="14">
        <f ca="1">TRUNC((TODAY()-TabelaBase[[#This Row],[Data Nascimento]])/365)</f>
        <v>65</v>
      </c>
      <c r="M643" s="14" t="str">
        <f ca="1">HLOOKUP(TabelaBase[[#This Row],[Idade]],$O$3:$R$4,2,TRUE)</f>
        <v>54-70</v>
      </c>
    </row>
    <row r="644" spans="2:13" x14ac:dyDescent="0.3">
      <c r="B644" s="11">
        <v>75490586916</v>
      </c>
      <c r="C644" t="s">
        <v>138</v>
      </c>
      <c r="D644" t="s">
        <v>6</v>
      </c>
      <c r="E644" t="s">
        <v>417</v>
      </c>
      <c r="F644" t="s">
        <v>11</v>
      </c>
      <c r="G644" t="s">
        <v>426</v>
      </c>
      <c r="H644" s="1">
        <v>32641</v>
      </c>
      <c r="I644" s="1" t="s">
        <v>435</v>
      </c>
      <c r="J644" t="s">
        <v>447</v>
      </c>
      <c r="K644" s="12">
        <v>79.900000000000006</v>
      </c>
      <c r="L644" s="14">
        <f ca="1">TRUNC((TODAY()-TabelaBase[[#This Row],[Data Nascimento]])/365)</f>
        <v>36</v>
      </c>
      <c r="M644" s="14" t="str">
        <f ca="1">HLOOKUP(TabelaBase[[#This Row],[Idade]],$O$3:$R$4,2,TRUE)</f>
        <v>35 - 44</v>
      </c>
    </row>
    <row r="645" spans="2:13" x14ac:dyDescent="0.3">
      <c r="B645" s="11">
        <v>75500284653</v>
      </c>
      <c r="C645" t="s">
        <v>25</v>
      </c>
      <c r="D645" t="s">
        <v>6</v>
      </c>
      <c r="E645" t="s">
        <v>7</v>
      </c>
      <c r="F645" t="s">
        <v>12</v>
      </c>
      <c r="G645" t="s">
        <v>425</v>
      </c>
      <c r="H645" s="1">
        <v>26262</v>
      </c>
      <c r="I645" s="1" t="s">
        <v>436</v>
      </c>
      <c r="J645" t="s">
        <v>445</v>
      </c>
      <c r="K645" s="12">
        <v>35.9</v>
      </c>
      <c r="L645" s="14">
        <f ca="1">TRUNC((TODAY()-TabelaBase[[#This Row],[Data Nascimento]])/365)</f>
        <v>54</v>
      </c>
      <c r="M645" s="14" t="str">
        <f ca="1">HLOOKUP(TabelaBase[[#This Row],[Idade]],$O$3:$R$4,2,TRUE)</f>
        <v>54-70</v>
      </c>
    </row>
    <row r="646" spans="2:13" x14ac:dyDescent="0.3">
      <c r="B646" s="11">
        <v>75640893297</v>
      </c>
      <c r="C646" t="s">
        <v>44</v>
      </c>
      <c r="D646" t="s">
        <v>5</v>
      </c>
      <c r="E646" t="s">
        <v>418</v>
      </c>
      <c r="F646" t="s">
        <v>13</v>
      </c>
      <c r="G646" t="s">
        <v>425</v>
      </c>
      <c r="H646" s="1">
        <v>25154</v>
      </c>
      <c r="I646" s="1" t="s">
        <v>430</v>
      </c>
      <c r="J646" t="s">
        <v>446</v>
      </c>
      <c r="K646" s="12">
        <v>9.9</v>
      </c>
      <c r="L646" s="14">
        <f ca="1">TRUNC((TODAY()-TabelaBase[[#This Row],[Data Nascimento]])/365)</f>
        <v>57</v>
      </c>
      <c r="M646" s="14" t="str">
        <f ca="1">HLOOKUP(TabelaBase[[#This Row],[Idade]],$O$3:$R$4,2,TRUE)</f>
        <v>54-70</v>
      </c>
    </row>
    <row r="647" spans="2:13" x14ac:dyDescent="0.3">
      <c r="B647" s="11">
        <v>75647720892</v>
      </c>
      <c r="C647" t="s">
        <v>51</v>
      </c>
      <c r="D647" t="s">
        <v>6</v>
      </c>
      <c r="E647" t="s">
        <v>416</v>
      </c>
      <c r="F647" t="s">
        <v>9</v>
      </c>
      <c r="G647" t="s">
        <v>424</v>
      </c>
      <c r="H647" s="1">
        <v>27153</v>
      </c>
      <c r="I647" s="1" t="s">
        <v>435</v>
      </c>
      <c r="J647" t="s">
        <v>446</v>
      </c>
      <c r="K647" s="12">
        <v>9.9</v>
      </c>
      <c r="L647" s="14">
        <f ca="1">TRUNC((TODAY()-TabelaBase[[#This Row],[Data Nascimento]])/365)</f>
        <v>51</v>
      </c>
      <c r="M647" s="14" t="str">
        <f ca="1">HLOOKUP(TabelaBase[[#This Row],[Idade]],$O$3:$R$4,2,TRUE)</f>
        <v>44 - 54</v>
      </c>
    </row>
    <row r="648" spans="2:13" x14ac:dyDescent="0.3">
      <c r="B648" s="11">
        <v>75720068227</v>
      </c>
      <c r="C648" t="s">
        <v>299</v>
      </c>
      <c r="D648" t="s">
        <v>5</v>
      </c>
      <c r="E648" t="s">
        <v>8</v>
      </c>
      <c r="F648" t="s">
        <v>13</v>
      </c>
      <c r="G648" t="s">
        <v>426</v>
      </c>
      <c r="H648" s="1">
        <v>32329</v>
      </c>
      <c r="I648" s="1" t="s">
        <v>436</v>
      </c>
      <c r="J648" t="s">
        <v>444</v>
      </c>
      <c r="K648" s="12">
        <v>29.9</v>
      </c>
      <c r="L648" s="14">
        <f ca="1">TRUNC((TODAY()-TabelaBase[[#This Row],[Data Nascimento]])/365)</f>
        <v>37</v>
      </c>
      <c r="M648" s="14" t="str">
        <f ca="1">HLOOKUP(TabelaBase[[#This Row],[Idade]],$O$3:$R$4,2,TRUE)</f>
        <v>35 - 44</v>
      </c>
    </row>
    <row r="649" spans="2:13" x14ac:dyDescent="0.3">
      <c r="B649" s="11">
        <v>75883715598</v>
      </c>
      <c r="C649" t="s">
        <v>339</v>
      </c>
      <c r="D649" t="s">
        <v>6</v>
      </c>
      <c r="E649" t="s">
        <v>8</v>
      </c>
      <c r="F649" t="s">
        <v>9</v>
      </c>
      <c r="G649" t="s">
        <v>426</v>
      </c>
      <c r="H649" s="1">
        <v>22867</v>
      </c>
      <c r="I649" s="1" t="s">
        <v>433</v>
      </c>
      <c r="J649" t="s">
        <v>446</v>
      </c>
      <c r="K649" s="12">
        <v>9.9</v>
      </c>
      <c r="L649" s="14">
        <f ca="1">TRUNC((TODAY()-TabelaBase[[#This Row],[Data Nascimento]])/365)</f>
        <v>63</v>
      </c>
      <c r="M649" s="14" t="str">
        <f ca="1">HLOOKUP(TabelaBase[[#This Row],[Idade]],$O$3:$R$4,2,TRUE)</f>
        <v>54-70</v>
      </c>
    </row>
    <row r="650" spans="2:13" x14ac:dyDescent="0.3">
      <c r="B650" s="11">
        <v>75886580216</v>
      </c>
      <c r="C650" t="s">
        <v>132</v>
      </c>
      <c r="D650" t="s">
        <v>6</v>
      </c>
      <c r="E650" t="s">
        <v>8</v>
      </c>
      <c r="F650" t="s">
        <v>13</v>
      </c>
      <c r="G650" t="s">
        <v>425</v>
      </c>
      <c r="H650" s="1">
        <v>27289</v>
      </c>
      <c r="I650" s="1" t="s">
        <v>433</v>
      </c>
      <c r="J650" t="s">
        <v>446</v>
      </c>
      <c r="K650" s="12">
        <v>9.9</v>
      </c>
      <c r="L650" s="14">
        <f ca="1">TRUNC((TODAY()-TabelaBase[[#This Row],[Data Nascimento]])/365)</f>
        <v>51</v>
      </c>
      <c r="M650" s="14" t="str">
        <f ca="1">HLOOKUP(TabelaBase[[#This Row],[Idade]],$O$3:$R$4,2,TRUE)</f>
        <v>44 - 54</v>
      </c>
    </row>
    <row r="651" spans="2:13" x14ac:dyDescent="0.3">
      <c r="B651" s="11">
        <v>76227666348</v>
      </c>
      <c r="C651" t="s">
        <v>196</v>
      </c>
      <c r="D651" t="s">
        <v>5</v>
      </c>
      <c r="E651" t="s">
        <v>7</v>
      </c>
      <c r="F651" t="s">
        <v>14</v>
      </c>
      <c r="G651" t="s">
        <v>426</v>
      </c>
      <c r="H651" s="1">
        <v>33621</v>
      </c>
      <c r="I651" s="1" t="s">
        <v>433</v>
      </c>
      <c r="J651" t="s">
        <v>444</v>
      </c>
      <c r="K651" s="12">
        <v>29.9</v>
      </c>
      <c r="L651" s="14">
        <f ca="1">TRUNC((TODAY()-TabelaBase[[#This Row],[Data Nascimento]])/365)</f>
        <v>34</v>
      </c>
      <c r="M651" s="14" t="str">
        <f ca="1">HLOOKUP(TabelaBase[[#This Row],[Idade]],$O$3:$R$4,2,TRUE)</f>
        <v>24-34</v>
      </c>
    </row>
    <row r="652" spans="2:13" x14ac:dyDescent="0.3">
      <c r="B652" s="11">
        <v>76419222774</v>
      </c>
      <c r="C652" t="s">
        <v>187</v>
      </c>
      <c r="D652" t="s">
        <v>5</v>
      </c>
      <c r="E652" t="s">
        <v>7</v>
      </c>
      <c r="F652" t="s">
        <v>12</v>
      </c>
      <c r="G652" t="s">
        <v>425</v>
      </c>
      <c r="H652" s="1">
        <v>25791</v>
      </c>
      <c r="I652" s="1" t="s">
        <v>433</v>
      </c>
      <c r="J652" t="s">
        <v>446</v>
      </c>
      <c r="K652" s="12">
        <v>9.9</v>
      </c>
      <c r="L652" s="14">
        <f ca="1">TRUNC((TODAY()-TabelaBase[[#This Row],[Data Nascimento]])/365)</f>
        <v>55</v>
      </c>
      <c r="M652" s="14" t="str">
        <f ca="1">HLOOKUP(TabelaBase[[#This Row],[Idade]],$O$3:$R$4,2,TRUE)</f>
        <v>54-70</v>
      </c>
    </row>
    <row r="653" spans="2:13" x14ac:dyDescent="0.3">
      <c r="B653" s="11">
        <v>76513561348</v>
      </c>
      <c r="C653" t="s">
        <v>320</v>
      </c>
      <c r="D653" t="s">
        <v>6</v>
      </c>
      <c r="E653" t="s">
        <v>7</v>
      </c>
      <c r="F653" t="s">
        <v>13</v>
      </c>
      <c r="G653" t="s">
        <v>426</v>
      </c>
      <c r="H653" s="1">
        <v>31667</v>
      </c>
      <c r="I653" s="1" t="s">
        <v>433</v>
      </c>
      <c r="J653" t="s">
        <v>444</v>
      </c>
      <c r="K653" s="12">
        <v>29.9</v>
      </c>
      <c r="L653" s="14">
        <f ca="1">TRUNC((TODAY()-TabelaBase[[#This Row],[Data Nascimento]])/365)</f>
        <v>39</v>
      </c>
      <c r="M653" s="14" t="str">
        <f ca="1">HLOOKUP(TabelaBase[[#This Row],[Idade]],$O$3:$R$4,2,TRUE)</f>
        <v>35 - 44</v>
      </c>
    </row>
    <row r="654" spans="2:13" x14ac:dyDescent="0.3">
      <c r="B654" s="11">
        <v>76617239194</v>
      </c>
      <c r="C654" t="s">
        <v>80</v>
      </c>
      <c r="D654" t="s">
        <v>5</v>
      </c>
      <c r="E654" t="s">
        <v>7</v>
      </c>
      <c r="F654" t="s">
        <v>13</v>
      </c>
      <c r="G654" t="s">
        <v>426</v>
      </c>
      <c r="H654" s="1">
        <v>27199</v>
      </c>
      <c r="I654" s="1" t="s">
        <v>433</v>
      </c>
      <c r="J654" t="s">
        <v>444</v>
      </c>
      <c r="K654" s="12">
        <v>29.9</v>
      </c>
      <c r="L654" s="14">
        <f ca="1">TRUNC((TODAY()-TabelaBase[[#This Row],[Data Nascimento]])/365)</f>
        <v>51</v>
      </c>
      <c r="M654" s="14" t="str">
        <f ca="1">HLOOKUP(TabelaBase[[#This Row],[Idade]],$O$3:$R$4,2,TRUE)</f>
        <v>44 - 54</v>
      </c>
    </row>
    <row r="655" spans="2:13" x14ac:dyDescent="0.3">
      <c r="B655" s="11">
        <v>76661469865</v>
      </c>
      <c r="C655" t="s">
        <v>153</v>
      </c>
      <c r="D655" t="s">
        <v>6</v>
      </c>
      <c r="E655" t="s">
        <v>7</v>
      </c>
      <c r="F655" t="s">
        <v>427</v>
      </c>
      <c r="G655" t="s">
        <v>424</v>
      </c>
      <c r="H655" s="1">
        <v>34571</v>
      </c>
      <c r="I655" s="1" t="s">
        <v>433</v>
      </c>
      <c r="J655" t="s">
        <v>446</v>
      </c>
      <c r="K655" s="12">
        <v>9.9</v>
      </c>
      <c r="L655" s="14">
        <f ca="1">TRUNC((TODAY()-TabelaBase[[#This Row],[Data Nascimento]])/365)</f>
        <v>31</v>
      </c>
      <c r="M655" s="14" t="str">
        <f ca="1">HLOOKUP(TabelaBase[[#This Row],[Idade]],$O$3:$R$4,2,TRUE)</f>
        <v>24-34</v>
      </c>
    </row>
    <row r="656" spans="2:13" x14ac:dyDescent="0.3">
      <c r="B656" s="11">
        <v>76755306471</v>
      </c>
      <c r="C656" t="s">
        <v>201</v>
      </c>
      <c r="D656" t="s">
        <v>5</v>
      </c>
      <c r="E656" t="s">
        <v>417</v>
      </c>
      <c r="F656" t="s">
        <v>427</v>
      </c>
      <c r="G656" t="s">
        <v>425</v>
      </c>
      <c r="H656" s="1">
        <v>30390</v>
      </c>
      <c r="I656" s="1" t="s">
        <v>433</v>
      </c>
      <c r="J656" t="s">
        <v>446</v>
      </c>
      <c r="K656" s="12">
        <v>9.9</v>
      </c>
      <c r="L656" s="14">
        <f ca="1">TRUNC((TODAY()-TabelaBase[[#This Row],[Data Nascimento]])/365)</f>
        <v>42</v>
      </c>
      <c r="M656" s="14" t="str">
        <f ca="1">HLOOKUP(TabelaBase[[#This Row],[Idade]],$O$3:$R$4,2,TRUE)</f>
        <v>35 - 44</v>
      </c>
    </row>
    <row r="657" spans="2:13" x14ac:dyDescent="0.3">
      <c r="B657" s="11">
        <v>76981963636</v>
      </c>
      <c r="C657" t="s">
        <v>337</v>
      </c>
      <c r="D657" t="s">
        <v>5</v>
      </c>
      <c r="E657" t="s">
        <v>7</v>
      </c>
      <c r="F657" t="s">
        <v>12</v>
      </c>
      <c r="G657" t="s">
        <v>425</v>
      </c>
      <c r="H657" s="1">
        <v>27662</v>
      </c>
      <c r="I657" s="1" t="s">
        <v>433</v>
      </c>
      <c r="J657" t="s">
        <v>445</v>
      </c>
      <c r="K657" s="12">
        <v>35.9</v>
      </c>
      <c r="L657" s="14">
        <f ca="1">TRUNC((TODAY()-TabelaBase[[#This Row],[Data Nascimento]])/365)</f>
        <v>50</v>
      </c>
      <c r="M657" s="14" t="str">
        <f ca="1">HLOOKUP(TabelaBase[[#This Row],[Idade]],$O$3:$R$4,2,TRUE)</f>
        <v>44 - 54</v>
      </c>
    </row>
    <row r="658" spans="2:13" x14ac:dyDescent="0.3">
      <c r="B658" s="11">
        <v>77035928818</v>
      </c>
      <c r="C658" t="s">
        <v>327</v>
      </c>
      <c r="D658" t="s">
        <v>5</v>
      </c>
      <c r="E658" t="s">
        <v>7</v>
      </c>
      <c r="F658" t="s">
        <v>9</v>
      </c>
      <c r="G658" t="s">
        <v>425</v>
      </c>
      <c r="H658" s="1">
        <v>25223</v>
      </c>
      <c r="I658" s="1" t="s">
        <v>429</v>
      </c>
      <c r="J658" t="s">
        <v>444</v>
      </c>
      <c r="K658" s="12">
        <v>29.9</v>
      </c>
      <c r="L658" s="14">
        <f ca="1">TRUNC((TODAY()-TabelaBase[[#This Row],[Data Nascimento]])/365)</f>
        <v>57</v>
      </c>
      <c r="M658" s="14" t="str">
        <f ca="1">HLOOKUP(TabelaBase[[#This Row],[Idade]],$O$3:$R$4,2,TRUE)</f>
        <v>54-70</v>
      </c>
    </row>
    <row r="659" spans="2:13" x14ac:dyDescent="0.3">
      <c r="B659" s="11">
        <v>77297614799</v>
      </c>
      <c r="C659" t="s">
        <v>32</v>
      </c>
      <c r="D659" t="s">
        <v>5</v>
      </c>
      <c r="E659" t="s">
        <v>8</v>
      </c>
      <c r="F659" t="s">
        <v>13</v>
      </c>
      <c r="G659" t="s">
        <v>425</v>
      </c>
      <c r="H659" s="1">
        <v>36046</v>
      </c>
      <c r="I659" s="1" t="s">
        <v>432</v>
      </c>
      <c r="J659" t="s">
        <v>444</v>
      </c>
      <c r="K659" s="12">
        <v>29.9</v>
      </c>
      <c r="L659" s="14">
        <f ca="1">TRUNC((TODAY()-TabelaBase[[#This Row],[Data Nascimento]])/365)</f>
        <v>27</v>
      </c>
      <c r="M659" s="14" t="str">
        <f ca="1">HLOOKUP(TabelaBase[[#This Row],[Idade]],$O$3:$R$4,2,TRUE)</f>
        <v>24-34</v>
      </c>
    </row>
    <row r="660" spans="2:13" x14ac:dyDescent="0.3">
      <c r="B660" s="11">
        <v>77353989708</v>
      </c>
      <c r="C660" t="s">
        <v>139</v>
      </c>
      <c r="D660" t="s">
        <v>6</v>
      </c>
      <c r="E660" t="s">
        <v>8</v>
      </c>
      <c r="F660" t="s">
        <v>12</v>
      </c>
      <c r="G660" t="s">
        <v>426</v>
      </c>
      <c r="H660" s="1">
        <v>24939</v>
      </c>
      <c r="I660" s="1" t="s">
        <v>436</v>
      </c>
      <c r="J660" t="s">
        <v>446</v>
      </c>
      <c r="K660" s="12">
        <v>9.9</v>
      </c>
      <c r="L660" s="14">
        <f ca="1">TRUNC((TODAY()-TabelaBase[[#This Row],[Data Nascimento]])/365)</f>
        <v>57</v>
      </c>
      <c r="M660" s="14" t="str">
        <f ca="1">HLOOKUP(TabelaBase[[#This Row],[Idade]],$O$3:$R$4,2,TRUE)</f>
        <v>54-70</v>
      </c>
    </row>
    <row r="661" spans="2:13" x14ac:dyDescent="0.3">
      <c r="B661" s="11">
        <v>77517679683</v>
      </c>
      <c r="C661" t="s">
        <v>310</v>
      </c>
      <c r="D661" t="s">
        <v>6</v>
      </c>
      <c r="E661" t="s">
        <v>7</v>
      </c>
      <c r="F661" t="s">
        <v>427</v>
      </c>
      <c r="G661" t="s">
        <v>426</v>
      </c>
      <c r="H661" s="1">
        <v>33473</v>
      </c>
      <c r="I661" s="1" t="s">
        <v>436</v>
      </c>
      <c r="J661" t="s">
        <v>444</v>
      </c>
      <c r="K661" s="12">
        <v>29.9</v>
      </c>
      <c r="L661" s="14">
        <f ca="1">TRUNC((TODAY()-TabelaBase[[#This Row],[Data Nascimento]])/365)</f>
        <v>34</v>
      </c>
      <c r="M661" s="14" t="str">
        <f ca="1">HLOOKUP(TabelaBase[[#This Row],[Idade]],$O$3:$R$4,2,TRUE)</f>
        <v>24-34</v>
      </c>
    </row>
    <row r="662" spans="2:13" x14ac:dyDescent="0.3">
      <c r="B662" s="11">
        <v>77576268900</v>
      </c>
      <c r="C662" t="s">
        <v>116</v>
      </c>
      <c r="D662" t="s">
        <v>5</v>
      </c>
      <c r="E662" t="s">
        <v>7</v>
      </c>
      <c r="F662" t="s">
        <v>13</v>
      </c>
      <c r="G662" t="s">
        <v>426</v>
      </c>
      <c r="H662" s="1">
        <v>31037</v>
      </c>
      <c r="I662" s="1" t="s">
        <v>436</v>
      </c>
      <c r="J662" t="s">
        <v>446</v>
      </c>
      <c r="K662" s="12">
        <v>9.9</v>
      </c>
      <c r="L662" s="14">
        <f ca="1">TRUNC((TODAY()-TabelaBase[[#This Row],[Data Nascimento]])/365)</f>
        <v>41</v>
      </c>
      <c r="M662" s="14" t="str">
        <f ca="1">HLOOKUP(TabelaBase[[#This Row],[Idade]],$O$3:$R$4,2,TRUE)</f>
        <v>35 - 44</v>
      </c>
    </row>
    <row r="663" spans="2:13" x14ac:dyDescent="0.3">
      <c r="B663" s="11">
        <v>77956710912</v>
      </c>
      <c r="C663" t="s">
        <v>322</v>
      </c>
      <c r="D663" t="s">
        <v>6</v>
      </c>
      <c r="E663" t="s">
        <v>8</v>
      </c>
      <c r="F663" t="s">
        <v>14</v>
      </c>
      <c r="G663" t="s">
        <v>424</v>
      </c>
      <c r="H663" s="1">
        <v>27183</v>
      </c>
      <c r="I663" s="1" t="s">
        <v>436</v>
      </c>
      <c r="J663" t="s">
        <v>444</v>
      </c>
      <c r="K663" s="12">
        <v>29.9</v>
      </c>
      <c r="L663" s="14">
        <f ca="1">TRUNC((TODAY()-TabelaBase[[#This Row],[Data Nascimento]])/365)</f>
        <v>51</v>
      </c>
      <c r="M663" s="14" t="str">
        <f ca="1">HLOOKUP(TabelaBase[[#This Row],[Idade]],$O$3:$R$4,2,TRUE)</f>
        <v>44 - 54</v>
      </c>
    </row>
    <row r="664" spans="2:13" x14ac:dyDescent="0.3">
      <c r="B664" s="11">
        <v>78203672011</v>
      </c>
      <c r="C664" t="s">
        <v>121</v>
      </c>
      <c r="D664" t="s">
        <v>6</v>
      </c>
      <c r="E664" t="s">
        <v>417</v>
      </c>
      <c r="F664" t="s">
        <v>12</v>
      </c>
      <c r="G664" t="s">
        <v>425</v>
      </c>
      <c r="H664" s="1">
        <v>28970</v>
      </c>
      <c r="I664" s="1" t="s">
        <v>436</v>
      </c>
      <c r="J664" t="s">
        <v>445</v>
      </c>
      <c r="K664" s="12">
        <v>35.9</v>
      </c>
      <c r="L664" s="14">
        <f ca="1">TRUNC((TODAY()-TabelaBase[[#This Row],[Data Nascimento]])/365)</f>
        <v>46</v>
      </c>
      <c r="M664" s="14" t="str">
        <f ca="1">HLOOKUP(TabelaBase[[#This Row],[Idade]],$O$3:$R$4,2,TRUE)</f>
        <v>44 - 54</v>
      </c>
    </row>
    <row r="665" spans="2:13" x14ac:dyDescent="0.3">
      <c r="B665" s="11">
        <v>78384232915</v>
      </c>
      <c r="C665" t="s">
        <v>117</v>
      </c>
      <c r="D665" t="s">
        <v>5</v>
      </c>
      <c r="E665" t="s">
        <v>7</v>
      </c>
      <c r="F665" t="s">
        <v>427</v>
      </c>
      <c r="G665" t="s">
        <v>425</v>
      </c>
      <c r="H665" s="1">
        <v>29800</v>
      </c>
      <c r="I665" s="1" t="s">
        <v>436</v>
      </c>
      <c r="J665" t="s">
        <v>446</v>
      </c>
      <c r="K665" s="12">
        <v>9.9</v>
      </c>
      <c r="L665" s="14">
        <f ca="1">TRUNC((TODAY()-TabelaBase[[#This Row],[Data Nascimento]])/365)</f>
        <v>44</v>
      </c>
      <c r="M665" s="14" t="str">
        <f ca="1">HLOOKUP(TabelaBase[[#This Row],[Idade]],$O$3:$R$4,2,TRUE)</f>
        <v>44 - 54</v>
      </c>
    </row>
    <row r="666" spans="2:13" x14ac:dyDescent="0.3">
      <c r="B666" s="11">
        <v>78732548500</v>
      </c>
      <c r="C666" t="s">
        <v>231</v>
      </c>
      <c r="D666" t="s">
        <v>5</v>
      </c>
      <c r="E666" t="s">
        <v>417</v>
      </c>
      <c r="F666" t="s">
        <v>9</v>
      </c>
      <c r="G666" t="s">
        <v>424</v>
      </c>
      <c r="H666" s="1">
        <v>33449</v>
      </c>
      <c r="I666" s="1" t="s">
        <v>435</v>
      </c>
      <c r="J666" t="s">
        <v>444</v>
      </c>
      <c r="K666" s="12">
        <v>29.9</v>
      </c>
      <c r="L666" s="14">
        <f ca="1">TRUNC((TODAY()-TabelaBase[[#This Row],[Data Nascimento]])/365)</f>
        <v>34</v>
      </c>
      <c r="M666" s="14" t="str">
        <f ca="1">HLOOKUP(TabelaBase[[#This Row],[Idade]],$O$3:$R$4,2,TRUE)</f>
        <v>24-34</v>
      </c>
    </row>
    <row r="667" spans="2:13" x14ac:dyDescent="0.3">
      <c r="B667" s="11">
        <v>78770918998</v>
      </c>
      <c r="C667" t="s">
        <v>204</v>
      </c>
      <c r="D667" t="s">
        <v>5</v>
      </c>
      <c r="E667" t="s">
        <v>418</v>
      </c>
      <c r="F667" t="s">
        <v>13</v>
      </c>
      <c r="G667" t="s">
        <v>425</v>
      </c>
      <c r="H667" s="1">
        <v>32795</v>
      </c>
      <c r="I667" s="1" t="s">
        <v>433</v>
      </c>
      <c r="J667" t="s">
        <v>446</v>
      </c>
      <c r="K667" s="12">
        <v>9.9</v>
      </c>
      <c r="L667" s="14">
        <f ca="1">TRUNC((TODAY()-TabelaBase[[#This Row],[Data Nascimento]])/365)</f>
        <v>36</v>
      </c>
      <c r="M667" s="14" t="str">
        <f ca="1">HLOOKUP(TabelaBase[[#This Row],[Idade]],$O$3:$R$4,2,TRUE)</f>
        <v>35 - 44</v>
      </c>
    </row>
    <row r="668" spans="2:13" x14ac:dyDescent="0.3">
      <c r="B668" s="11">
        <v>78801671422</v>
      </c>
      <c r="C668" t="s">
        <v>58</v>
      </c>
      <c r="D668" t="s">
        <v>5</v>
      </c>
      <c r="E668" t="s">
        <v>417</v>
      </c>
      <c r="F668" t="s">
        <v>14</v>
      </c>
      <c r="G668" t="s">
        <v>426</v>
      </c>
      <c r="H668" s="1">
        <v>30804</v>
      </c>
      <c r="I668" s="1" t="s">
        <v>433</v>
      </c>
      <c r="J668" t="s">
        <v>444</v>
      </c>
      <c r="K668" s="12">
        <v>29.9</v>
      </c>
      <c r="L668" s="14">
        <f ca="1">TRUNC((TODAY()-TabelaBase[[#This Row],[Data Nascimento]])/365)</f>
        <v>41</v>
      </c>
      <c r="M668" s="14" t="str">
        <f ca="1">HLOOKUP(TabelaBase[[#This Row],[Idade]],$O$3:$R$4,2,TRUE)</f>
        <v>35 - 44</v>
      </c>
    </row>
    <row r="669" spans="2:13" x14ac:dyDescent="0.3">
      <c r="B669" s="11">
        <v>78983767645</v>
      </c>
      <c r="C669" t="s">
        <v>277</v>
      </c>
      <c r="D669" t="s">
        <v>5</v>
      </c>
      <c r="E669" t="s">
        <v>7</v>
      </c>
      <c r="F669" t="s">
        <v>427</v>
      </c>
      <c r="G669" t="s">
        <v>425</v>
      </c>
      <c r="H669" s="1">
        <v>28433</v>
      </c>
      <c r="I669" s="1" t="s">
        <v>433</v>
      </c>
      <c r="J669" t="s">
        <v>445</v>
      </c>
      <c r="K669" s="12">
        <v>35.9</v>
      </c>
      <c r="L669" s="14">
        <f ca="1">TRUNC((TODAY()-TabelaBase[[#This Row],[Data Nascimento]])/365)</f>
        <v>48</v>
      </c>
      <c r="M669" s="14" t="str">
        <f ca="1">HLOOKUP(TabelaBase[[#This Row],[Idade]],$O$3:$R$4,2,TRUE)</f>
        <v>44 - 54</v>
      </c>
    </row>
    <row r="670" spans="2:13" x14ac:dyDescent="0.3">
      <c r="B670" s="11">
        <v>79152697017</v>
      </c>
      <c r="C670" t="s">
        <v>323</v>
      </c>
      <c r="D670" t="s">
        <v>6</v>
      </c>
      <c r="E670" t="s">
        <v>7</v>
      </c>
      <c r="F670" t="s">
        <v>13</v>
      </c>
      <c r="G670" t="s">
        <v>424</v>
      </c>
      <c r="H670" s="1">
        <v>31815</v>
      </c>
      <c r="I670" s="1" t="s">
        <v>433</v>
      </c>
      <c r="J670" t="s">
        <v>444</v>
      </c>
      <c r="K670" s="12">
        <v>29.9</v>
      </c>
      <c r="L670" s="14">
        <f ca="1">TRUNC((TODAY()-TabelaBase[[#This Row],[Data Nascimento]])/365)</f>
        <v>38</v>
      </c>
      <c r="M670" s="14" t="str">
        <f ca="1">HLOOKUP(TabelaBase[[#This Row],[Idade]],$O$3:$R$4,2,TRUE)</f>
        <v>35 - 44</v>
      </c>
    </row>
    <row r="671" spans="2:13" x14ac:dyDescent="0.3">
      <c r="B671" s="11">
        <v>79191835030</v>
      </c>
      <c r="C671" t="s">
        <v>178</v>
      </c>
      <c r="D671" t="s">
        <v>5</v>
      </c>
      <c r="E671" t="s">
        <v>417</v>
      </c>
      <c r="F671" t="s">
        <v>14</v>
      </c>
      <c r="G671" t="s">
        <v>426</v>
      </c>
      <c r="H671" s="1">
        <v>30664</v>
      </c>
      <c r="I671" s="1" t="s">
        <v>433</v>
      </c>
      <c r="J671" t="s">
        <v>444</v>
      </c>
      <c r="K671" s="12">
        <v>29.9</v>
      </c>
      <c r="L671" s="14">
        <f ca="1">TRUNC((TODAY()-TabelaBase[[#This Row],[Data Nascimento]])/365)</f>
        <v>42</v>
      </c>
      <c r="M671" s="14" t="str">
        <f ca="1">HLOOKUP(TabelaBase[[#This Row],[Idade]],$O$3:$R$4,2,TRUE)</f>
        <v>35 - 44</v>
      </c>
    </row>
    <row r="672" spans="2:13" x14ac:dyDescent="0.3">
      <c r="B672" s="11">
        <v>79692046981</v>
      </c>
      <c r="C672" t="s">
        <v>17</v>
      </c>
      <c r="D672" t="s">
        <v>6</v>
      </c>
      <c r="E672" t="s">
        <v>7</v>
      </c>
      <c r="F672" t="s">
        <v>427</v>
      </c>
      <c r="G672" t="s">
        <v>425</v>
      </c>
      <c r="H672" s="1">
        <v>28052</v>
      </c>
      <c r="I672" s="1" t="s">
        <v>430</v>
      </c>
      <c r="J672" t="s">
        <v>445</v>
      </c>
      <c r="K672" s="12">
        <v>35.9</v>
      </c>
      <c r="L672" s="14">
        <f ca="1">TRUNC((TODAY()-TabelaBase[[#This Row],[Data Nascimento]])/365)</f>
        <v>49</v>
      </c>
      <c r="M672" s="14" t="str">
        <f ca="1">HLOOKUP(TabelaBase[[#This Row],[Idade]],$O$3:$R$4,2,TRUE)</f>
        <v>44 - 54</v>
      </c>
    </row>
    <row r="673" spans="2:13" x14ac:dyDescent="0.3">
      <c r="B673" s="11">
        <v>80034583746</v>
      </c>
      <c r="C673" t="s">
        <v>340</v>
      </c>
      <c r="D673" t="s">
        <v>6</v>
      </c>
      <c r="E673" t="s">
        <v>7</v>
      </c>
      <c r="F673" t="s">
        <v>14</v>
      </c>
      <c r="G673" t="s">
        <v>425</v>
      </c>
      <c r="H673" s="1">
        <v>27478</v>
      </c>
      <c r="I673" s="1" t="s">
        <v>429</v>
      </c>
      <c r="J673" t="s">
        <v>444</v>
      </c>
      <c r="K673" s="12">
        <v>29.9</v>
      </c>
      <c r="L673" s="14">
        <f ca="1">TRUNC((TODAY()-TabelaBase[[#This Row],[Data Nascimento]])/365)</f>
        <v>50</v>
      </c>
      <c r="M673" s="14" t="str">
        <f ca="1">HLOOKUP(TabelaBase[[#This Row],[Idade]],$O$3:$R$4,2,TRUE)</f>
        <v>44 - 54</v>
      </c>
    </row>
    <row r="674" spans="2:13" x14ac:dyDescent="0.3">
      <c r="B674" s="11">
        <v>80299981987</v>
      </c>
      <c r="C674" t="s">
        <v>40</v>
      </c>
      <c r="D674" t="s">
        <v>5</v>
      </c>
      <c r="E674" t="s">
        <v>7</v>
      </c>
      <c r="F674" t="s">
        <v>14</v>
      </c>
      <c r="G674" t="s">
        <v>426</v>
      </c>
      <c r="H674" s="1">
        <v>33791</v>
      </c>
      <c r="I674" s="1" t="s">
        <v>431</v>
      </c>
      <c r="J674" t="s">
        <v>446</v>
      </c>
      <c r="K674" s="12">
        <v>9.9</v>
      </c>
      <c r="L674" s="14">
        <f ca="1">TRUNC((TODAY()-TabelaBase[[#This Row],[Data Nascimento]])/365)</f>
        <v>33</v>
      </c>
      <c r="M674" s="14" t="str">
        <f ca="1">HLOOKUP(TabelaBase[[#This Row],[Idade]],$O$3:$R$4,2,TRUE)</f>
        <v>24-34</v>
      </c>
    </row>
    <row r="675" spans="2:13" x14ac:dyDescent="0.3">
      <c r="B675" s="11">
        <v>80307995495</v>
      </c>
      <c r="C675" t="s">
        <v>223</v>
      </c>
      <c r="D675" t="s">
        <v>5</v>
      </c>
      <c r="E675" t="s">
        <v>7</v>
      </c>
      <c r="F675" t="s">
        <v>12</v>
      </c>
      <c r="G675" t="s">
        <v>424</v>
      </c>
      <c r="H675" s="1">
        <v>25398</v>
      </c>
      <c r="I675" s="1" t="s">
        <v>432</v>
      </c>
      <c r="J675" t="s">
        <v>447</v>
      </c>
      <c r="K675" s="12">
        <v>79.900000000000006</v>
      </c>
      <c r="L675" s="14">
        <f ca="1">TRUNC((TODAY()-TabelaBase[[#This Row],[Data Nascimento]])/365)</f>
        <v>56</v>
      </c>
      <c r="M675" s="14" t="str">
        <f ca="1">HLOOKUP(TabelaBase[[#This Row],[Idade]],$O$3:$R$4,2,TRUE)</f>
        <v>54-70</v>
      </c>
    </row>
    <row r="676" spans="2:13" x14ac:dyDescent="0.3">
      <c r="B676" s="11">
        <v>80343263498</v>
      </c>
      <c r="C676" t="s">
        <v>41</v>
      </c>
      <c r="D676" t="s">
        <v>6</v>
      </c>
      <c r="E676" t="s">
        <v>417</v>
      </c>
      <c r="F676" t="s">
        <v>427</v>
      </c>
      <c r="G676" t="s">
        <v>425</v>
      </c>
      <c r="H676" s="1">
        <v>23254</v>
      </c>
      <c r="I676" s="1" t="s">
        <v>434</v>
      </c>
      <c r="J676" t="s">
        <v>445</v>
      </c>
      <c r="K676" s="12">
        <v>35.9</v>
      </c>
      <c r="L676" s="14">
        <f ca="1">TRUNC((TODAY()-TabelaBase[[#This Row],[Data Nascimento]])/365)</f>
        <v>62</v>
      </c>
      <c r="M676" s="14" t="str">
        <f ca="1">HLOOKUP(TabelaBase[[#This Row],[Idade]],$O$3:$R$4,2,TRUE)</f>
        <v>54-70</v>
      </c>
    </row>
    <row r="677" spans="2:13" x14ac:dyDescent="0.3">
      <c r="B677" s="11">
        <v>80727883222</v>
      </c>
      <c r="C677" t="s">
        <v>343</v>
      </c>
      <c r="D677" t="s">
        <v>5</v>
      </c>
      <c r="E677" t="s">
        <v>7</v>
      </c>
      <c r="F677" t="s">
        <v>12</v>
      </c>
      <c r="G677" t="s">
        <v>424</v>
      </c>
      <c r="H677" s="1">
        <v>27726</v>
      </c>
      <c r="I677" s="1" t="s">
        <v>430</v>
      </c>
      <c r="J677" t="s">
        <v>447</v>
      </c>
      <c r="K677" s="12">
        <v>79.900000000000006</v>
      </c>
      <c r="L677" s="14">
        <f ca="1">TRUNC((TODAY()-TabelaBase[[#This Row],[Data Nascimento]])/365)</f>
        <v>50</v>
      </c>
      <c r="M677" s="14" t="str">
        <f ca="1">HLOOKUP(TabelaBase[[#This Row],[Idade]],$O$3:$R$4,2,TRUE)</f>
        <v>44 - 54</v>
      </c>
    </row>
    <row r="678" spans="2:13" x14ac:dyDescent="0.3">
      <c r="B678" s="11">
        <v>80931859365</v>
      </c>
      <c r="C678" t="s">
        <v>344</v>
      </c>
      <c r="D678" t="s">
        <v>6</v>
      </c>
      <c r="E678" t="s">
        <v>417</v>
      </c>
      <c r="F678" t="s">
        <v>13</v>
      </c>
      <c r="G678" t="s">
        <v>425</v>
      </c>
      <c r="H678" s="1">
        <v>30815</v>
      </c>
      <c r="I678" s="1" t="s">
        <v>435</v>
      </c>
      <c r="J678" t="s">
        <v>444</v>
      </c>
      <c r="K678" s="12">
        <v>29.9</v>
      </c>
      <c r="L678" s="14">
        <f ca="1">TRUNC((TODAY()-TabelaBase[[#This Row],[Data Nascimento]])/365)</f>
        <v>41</v>
      </c>
      <c r="M678" s="14" t="str">
        <f ca="1">HLOOKUP(TabelaBase[[#This Row],[Idade]],$O$3:$R$4,2,TRUE)</f>
        <v>35 - 44</v>
      </c>
    </row>
    <row r="679" spans="2:13" x14ac:dyDescent="0.3">
      <c r="B679" s="11">
        <v>81040031571</v>
      </c>
      <c r="C679" t="s">
        <v>382</v>
      </c>
      <c r="D679" t="s">
        <v>5</v>
      </c>
      <c r="E679" t="s">
        <v>8</v>
      </c>
      <c r="F679" t="s">
        <v>427</v>
      </c>
      <c r="G679" t="s">
        <v>424</v>
      </c>
      <c r="H679" s="1">
        <v>23396</v>
      </c>
      <c r="I679" s="1" t="s">
        <v>436</v>
      </c>
      <c r="J679" t="s">
        <v>444</v>
      </c>
      <c r="K679" s="12">
        <v>29.9</v>
      </c>
      <c r="L679" s="14">
        <f ca="1">TRUNC((TODAY()-TabelaBase[[#This Row],[Data Nascimento]])/365)</f>
        <v>62</v>
      </c>
      <c r="M679" s="14" t="str">
        <f ca="1">HLOOKUP(TabelaBase[[#This Row],[Idade]],$O$3:$R$4,2,TRUE)</f>
        <v>54-70</v>
      </c>
    </row>
    <row r="680" spans="2:13" x14ac:dyDescent="0.3">
      <c r="B680" s="11">
        <v>81073311563</v>
      </c>
      <c r="C680" t="s">
        <v>123</v>
      </c>
      <c r="D680" t="s">
        <v>6</v>
      </c>
      <c r="E680" t="s">
        <v>7</v>
      </c>
      <c r="F680" t="s">
        <v>9</v>
      </c>
      <c r="G680" t="s">
        <v>424</v>
      </c>
      <c r="H680" s="1">
        <v>29499</v>
      </c>
      <c r="I680" s="1" t="s">
        <v>430</v>
      </c>
      <c r="J680" t="s">
        <v>446</v>
      </c>
      <c r="K680" s="12">
        <v>9.9</v>
      </c>
      <c r="L680" s="14">
        <f ca="1">TRUNC((TODAY()-TabelaBase[[#This Row],[Data Nascimento]])/365)</f>
        <v>45</v>
      </c>
      <c r="M680" s="14" t="str">
        <f ca="1">HLOOKUP(TabelaBase[[#This Row],[Idade]],$O$3:$R$4,2,TRUE)</f>
        <v>44 - 54</v>
      </c>
    </row>
    <row r="681" spans="2:13" x14ac:dyDescent="0.3">
      <c r="B681" s="11">
        <v>81254163050</v>
      </c>
      <c r="C681" t="s">
        <v>65</v>
      </c>
      <c r="D681" t="s">
        <v>6</v>
      </c>
      <c r="E681" t="s">
        <v>7</v>
      </c>
      <c r="F681" t="s">
        <v>427</v>
      </c>
      <c r="G681" t="s">
        <v>425</v>
      </c>
      <c r="H681" s="1">
        <v>29554</v>
      </c>
      <c r="I681" s="1" t="s">
        <v>435</v>
      </c>
      <c r="J681" t="s">
        <v>445</v>
      </c>
      <c r="K681" s="12">
        <v>35.9</v>
      </c>
      <c r="L681" s="14">
        <f ca="1">TRUNC((TODAY()-TabelaBase[[#This Row],[Data Nascimento]])/365)</f>
        <v>45</v>
      </c>
      <c r="M681" s="14" t="str">
        <f ca="1">HLOOKUP(TabelaBase[[#This Row],[Idade]],$O$3:$R$4,2,TRUE)</f>
        <v>44 - 54</v>
      </c>
    </row>
    <row r="682" spans="2:13" x14ac:dyDescent="0.3">
      <c r="B682" s="11">
        <v>81389193399</v>
      </c>
      <c r="C682" t="s">
        <v>155</v>
      </c>
      <c r="D682" t="s">
        <v>6</v>
      </c>
      <c r="E682" t="s">
        <v>417</v>
      </c>
      <c r="F682" t="s">
        <v>13</v>
      </c>
      <c r="G682" t="s">
        <v>425</v>
      </c>
      <c r="H682" s="1">
        <v>29115</v>
      </c>
      <c r="I682" s="1" t="s">
        <v>436</v>
      </c>
      <c r="J682" t="s">
        <v>444</v>
      </c>
      <c r="K682" s="12">
        <v>29.9</v>
      </c>
      <c r="L682" s="14">
        <f ca="1">TRUNC((TODAY()-TabelaBase[[#This Row],[Data Nascimento]])/365)</f>
        <v>46</v>
      </c>
      <c r="M682" s="14" t="str">
        <f ca="1">HLOOKUP(TabelaBase[[#This Row],[Idade]],$O$3:$R$4,2,TRUE)</f>
        <v>44 - 54</v>
      </c>
    </row>
    <row r="683" spans="2:13" x14ac:dyDescent="0.3">
      <c r="B683" s="11">
        <v>81477810082</v>
      </c>
      <c r="C683" t="s">
        <v>248</v>
      </c>
      <c r="D683" t="s">
        <v>6</v>
      </c>
      <c r="E683" t="s">
        <v>416</v>
      </c>
      <c r="F683" t="s">
        <v>13</v>
      </c>
      <c r="G683" t="s">
        <v>425</v>
      </c>
      <c r="H683" s="1">
        <v>34658</v>
      </c>
      <c r="I683" s="1" t="s">
        <v>433</v>
      </c>
      <c r="J683" t="s">
        <v>444</v>
      </c>
      <c r="K683" s="12">
        <v>29.9</v>
      </c>
      <c r="L683" s="14">
        <f ca="1">TRUNC((TODAY()-TabelaBase[[#This Row],[Data Nascimento]])/365)</f>
        <v>31</v>
      </c>
      <c r="M683" s="14" t="str">
        <f ca="1">HLOOKUP(TabelaBase[[#This Row],[Idade]],$O$3:$R$4,2,TRUE)</f>
        <v>24-34</v>
      </c>
    </row>
    <row r="684" spans="2:13" x14ac:dyDescent="0.3">
      <c r="B684" s="11">
        <v>81525212234</v>
      </c>
      <c r="C684" t="s">
        <v>298</v>
      </c>
      <c r="D684" t="s">
        <v>5</v>
      </c>
      <c r="E684" t="s">
        <v>417</v>
      </c>
      <c r="F684" t="s">
        <v>14</v>
      </c>
      <c r="G684" t="s">
        <v>426</v>
      </c>
      <c r="H684" s="1">
        <v>31311</v>
      </c>
      <c r="I684" s="1" t="s">
        <v>433</v>
      </c>
      <c r="J684" t="s">
        <v>444</v>
      </c>
      <c r="K684" s="12">
        <v>29.9</v>
      </c>
      <c r="L684" s="14">
        <f ca="1">TRUNC((TODAY()-TabelaBase[[#This Row],[Data Nascimento]])/365)</f>
        <v>40</v>
      </c>
      <c r="M684" s="14" t="str">
        <f ca="1">HLOOKUP(TabelaBase[[#This Row],[Idade]],$O$3:$R$4,2,TRUE)</f>
        <v>35 - 44</v>
      </c>
    </row>
    <row r="685" spans="2:13" x14ac:dyDescent="0.3">
      <c r="B685" s="11">
        <v>81656115235</v>
      </c>
      <c r="C685" t="s">
        <v>358</v>
      </c>
      <c r="D685" t="s">
        <v>6</v>
      </c>
      <c r="E685" t="s">
        <v>417</v>
      </c>
      <c r="F685" t="s">
        <v>427</v>
      </c>
      <c r="G685" t="s">
        <v>426</v>
      </c>
      <c r="H685" s="1">
        <v>32752</v>
      </c>
      <c r="I685" s="1" t="s">
        <v>433</v>
      </c>
      <c r="J685" t="s">
        <v>444</v>
      </c>
      <c r="K685" s="12">
        <v>29.9</v>
      </c>
      <c r="L685" s="14">
        <f ca="1">TRUNC((TODAY()-TabelaBase[[#This Row],[Data Nascimento]])/365)</f>
        <v>36</v>
      </c>
      <c r="M685" s="14" t="str">
        <f ca="1">HLOOKUP(TabelaBase[[#This Row],[Idade]],$O$3:$R$4,2,TRUE)</f>
        <v>35 - 44</v>
      </c>
    </row>
    <row r="686" spans="2:13" x14ac:dyDescent="0.3">
      <c r="B686" s="11">
        <v>81829540486</v>
      </c>
      <c r="C686" t="s">
        <v>414</v>
      </c>
      <c r="D686" t="s">
        <v>5</v>
      </c>
      <c r="E686" t="s">
        <v>417</v>
      </c>
      <c r="F686" t="s">
        <v>11</v>
      </c>
      <c r="G686" t="s">
        <v>425</v>
      </c>
      <c r="H686" s="1">
        <v>33640</v>
      </c>
      <c r="I686" s="1" t="s">
        <v>433</v>
      </c>
      <c r="J686" t="s">
        <v>447</v>
      </c>
      <c r="K686" s="12">
        <v>79.900000000000006</v>
      </c>
      <c r="L686" s="14">
        <f ca="1">TRUNC((TODAY()-TabelaBase[[#This Row],[Data Nascimento]])/365)</f>
        <v>33</v>
      </c>
      <c r="M686" s="14" t="str">
        <f ca="1">HLOOKUP(TabelaBase[[#This Row],[Idade]],$O$3:$R$4,2,TRUE)</f>
        <v>24-34</v>
      </c>
    </row>
    <row r="687" spans="2:13" x14ac:dyDescent="0.3">
      <c r="B687" s="11">
        <v>81841428890</v>
      </c>
      <c r="C687" t="s">
        <v>295</v>
      </c>
      <c r="D687" t="s">
        <v>6</v>
      </c>
      <c r="E687" t="s">
        <v>417</v>
      </c>
      <c r="F687" t="s">
        <v>12</v>
      </c>
      <c r="G687" t="s">
        <v>425</v>
      </c>
      <c r="H687" s="1">
        <v>23270</v>
      </c>
      <c r="I687" s="1" t="s">
        <v>433</v>
      </c>
      <c r="J687" t="s">
        <v>447</v>
      </c>
      <c r="K687" s="12">
        <v>79.900000000000006</v>
      </c>
      <c r="L687" s="14">
        <f ca="1">TRUNC((TODAY()-TabelaBase[[#This Row],[Data Nascimento]])/365)</f>
        <v>62</v>
      </c>
      <c r="M687" s="14" t="str">
        <f ca="1">HLOOKUP(TabelaBase[[#This Row],[Idade]],$O$3:$R$4,2,TRUE)</f>
        <v>54-70</v>
      </c>
    </row>
    <row r="688" spans="2:13" x14ac:dyDescent="0.3">
      <c r="B688" s="11">
        <v>81957095029</v>
      </c>
      <c r="C688" t="s">
        <v>52</v>
      </c>
      <c r="D688" t="s">
        <v>5</v>
      </c>
      <c r="E688" t="s">
        <v>8</v>
      </c>
      <c r="F688" t="s">
        <v>14</v>
      </c>
      <c r="G688" t="s">
        <v>425</v>
      </c>
      <c r="H688" s="1">
        <v>35440</v>
      </c>
      <c r="I688" s="1" t="s">
        <v>433</v>
      </c>
      <c r="J688" t="s">
        <v>444</v>
      </c>
      <c r="K688" s="12">
        <v>29.9</v>
      </c>
      <c r="L688" s="14">
        <f ca="1">TRUNC((TODAY()-TabelaBase[[#This Row],[Data Nascimento]])/365)</f>
        <v>29</v>
      </c>
      <c r="M688" s="14" t="str">
        <f ca="1">HLOOKUP(TabelaBase[[#This Row],[Idade]],$O$3:$R$4,2,TRUE)</f>
        <v>24-34</v>
      </c>
    </row>
    <row r="689" spans="2:13" x14ac:dyDescent="0.3">
      <c r="B689" s="11">
        <v>81957392796</v>
      </c>
      <c r="C689" t="s">
        <v>232</v>
      </c>
      <c r="D689" t="s">
        <v>5</v>
      </c>
      <c r="E689" t="s">
        <v>8</v>
      </c>
      <c r="F689" t="s">
        <v>14</v>
      </c>
      <c r="G689" t="s">
        <v>425</v>
      </c>
      <c r="H689" s="1">
        <v>33595</v>
      </c>
      <c r="I689" s="1" t="s">
        <v>433</v>
      </c>
      <c r="J689" t="s">
        <v>446</v>
      </c>
      <c r="K689" s="12">
        <v>9.9</v>
      </c>
      <c r="L689" s="14">
        <f ca="1">TRUNC((TODAY()-TabelaBase[[#This Row],[Data Nascimento]])/365)</f>
        <v>34</v>
      </c>
      <c r="M689" s="14" t="str">
        <f ca="1">HLOOKUP(TabelaBase[[#This Row],[Idade]],$O$3:$R$4,2,TRUE)</f>
        <v>24-34</v>
      </c>
    </row>
    <row r="690" spans="2:13" x14ac:dyDescent="0.3">
      <c r="B690" s="11">
        <v>81986544000</v>
      </c>
      <c r="C690" t="s">
        <v>97</v>
      </c>
      <c r="D690" t="s">
        <v>6</v>
      </c>
      <c r="E690" t="s">
        <v>7</v>
      </c>
      <c r="F690" t="s">
        <v>12</v>
      </c>
      <c r="G690" t="s">
        <v>425</v>
      </c>
      <c r="H690" s="1">
        <v>30529</v>
      </c>
      <c r="I690" s="1" t="s">
        <v>433</v>
      </c>
      <c r="J690" t="s">
        <v>445</v>
      </c>
      <c r="K690" s="12">
        <v>35.9</v>
      </c>
      <c r="L690" s="14">
        <f ca="1">TRUNC((TODAY()-TabelaBase[[#This Row],[Data Nascimento]])/365)</f>
        <v>42</v>
      </c>
      <c r="M690" s="14" t="str">
        <f ca="1">HLOOKUP(TabelaBase[[#This Row],[Idade]],$O$3:$R$4,2,TRUE)</f>
        <v>35 - 44</v>
      </c>
    </row>
    <row r="691" spans="2:13" x14ac:dyDescent="0.3">
      <c r="B691" s="11">
        <v>82193403599</v>
      </c>
      <c r="C691" t="s">
        <v>113</v>
      </c>
      <c r="D691" t="s">
        <v>5</v>
      </c>
      <c r="E691" t="s">
        <v>7</v>
      </c>
      <c r="F691" t="s">
        <v>427</v>
      </c>
      <c r="G691" t="s">
        <v>424</v>
      </c>
      <c r="H691" s="1">
        <v>23366</v>
      </c>
      <c r="I691" s="1" t="s">
        <v>433</v>
      </c>
      <c r="J691" t="s">
        <v>445</v>
      </c>
      <c r="K691" s="12">
        <v>35.9</v>
      </c>
      <c r="L691" s="14">
        <f ca="1">TRUNC((TODAY()-TabelaBase[[#This Row],[Data Nascimento]])/365)</f>
        <v>62</v>
      </c>
      <c r="M691" s="14" t="str">
        <f ca="1">HLOOKUP(TabelaBase[[#This Row],[Idade]],$O$3:$R$4,2,TRUE)</f>
        <v>54-70</v>
      </c>
    </row>
    <row r="692" spans="2:13" x14ac:dyDescent="0.3">
      <c r="B692" s="11">
        <v>82208515205</v>
      </c>
      <c r="C692" t="s">
        <v>73</v>
      </c>
      <c r="D692" t="s">
        <v>6</v>
      </c>
      <c r="E692" t="s">
        <v>7</v>
      </c>
      <c r="F692" t="s">
        <v>12</v>
      </c>
      <c r="G692" t="s">
        <v>424</v>
      </c>
      <c r="H692" s="1">
        <v>29738</v>
      </c>
      <c r="I692" s="1" t="s">
        <v>429</v>
      </c>
      <c r="J692" t="s">
        <v>445</v>
      </c>
      <c r="K692" s="12">
        <v>35.9</v>
      </c>
      <c r="L692" s="14">
        <f ca="1">TRUNC((TODAY()-TabelaBase[[#This Row],[Data Nascimento]])/365)</f>
        <v>44</v>
      </c>
      <c r="M692" s="14" t="str">
        <f ca="1">HLOOKUP(TabelaBase[[#This Row],[Idade]],$O$3:$R$4,2,TRUE)</f>
        <v>44 - 54</v>
      </c>
    </row>
    <row r="693" spans="2:13" x14ac:dyDescent="0.3">
      <c r="B693" s="11">
        <v>82322292165</v>
      </c>
      <c r="C693" t="s">
        <v>197</v>
      </c>
      <c r="D693" t="s">
        <v>5</v>
      </c>
      <c r="E693" t="s">
        <v>7</v>
      </c>
      <c r="F693" t="s">
        <v>427</v>
      </c>
      <c r="G693" t="s">
        <v>425</v>
      </c>
      <c r="H693" s="1">
        <v>22049</v>
      </c>
      <c r="I693" s="1" t="s">
        <v>432</v>
      </c>
      <c r="J693" t="s">
        <v>445</v>
      </c>
      <c r="K693" s="12">
        <v>35.9</v>
      </c>
      <c r="L693" s="14">
        <f ca="1">TRUNC((TODAY()-TabelaBase[[#This Row],[Data Nascimento]])/365)</f>
        <v>65</v>
      </c>
      <c r="M693" s="14" t="str">
        <f ca="1">HLOOKUP(TabelaBase[[#This Row],[Idade]],$O$3:$R$4,2,TRUE)</f>
        <v>54-70</v>
      </c>
    </row>
    <row r="694" spans="2:13" x14ac:dyDescent="0.3">
      <c r="B694" s="11">
        <v>82534701192</v>
      </c>
      <c r="C694" t="s">
        <v>20</v>
      </c>
      <c r="D694" t="s">
        <v>5</v>
      </c>
      <c r="E694" t="s">
        <v>7</v>
      </c>
      <c r="F694" t="s">
        <v>13</v>
      </c>
      <c r="G694" t="s">
        <v>425</v>
      </c>
      <c r="H694" s="1">
        <v>30524</v>
      </c>
      <c r="I694" s="1" t="s">
        <v>436</v>
      </c>
      <c r="J694" t="s">
        <v>446</v>
      </c>
      <c r="K694" s="12">
        <v>9.9</v>
      </c>
      <c r="L694" s="14">
        <f ca="1">TRUNC((TODAY()-TabelaBase[[#This Row],[Data Nascimento]])/365)</f>
        <v>42</v>
      </c>
      <c r="M694" s="14" t="str">
        <f ca="1">HLOOKUP(TabelaBase[[#This Row],[Idade]],$O$3:$R$4,2,TRUE)</f>
        <v>35 - 44</v>
      </c>
    </row>
    <row r="695" spans="2:13" x14ac:dyDescent="0.3">
      <c r="B695" s="11">
        <v>82602952057</v>
      </c>
      <c r="C695" t="s">
        <v>83</v>
      </c>
      <c r="D695" t="s">
        <v>6</v>
      </c>
      <c r="E695" t="s">
        <v>7</v>
      </c>
      <c r="F695" t="s">
        <v>13</v>
      </c>
      <c r="G695" t="s">
        <v>424</v>
      </c>
      <c r="H695" s="1">
        <v>27484</v>
      </c>
      <c r="I695" s="1" t="s">
        <v>436</v>
      </c>
      <c r="J695" t="s">
        <v>444</v>
      </c>
      <c r="K695" s="12">
        <v>29.9</v>
      </c>
      <c r="L695" s="14">
        <f ca="1">TRUNC((TODAY()-TabelaBase[[#This Row],[Data Nascimento]])/365)</f>
        <v>50</v>
      </c>
      <c r="M695" s="14" t="str">
        <f ca="1">HLOOKUP(TabelaBase[[#This Row],[Idade]],$O$3:$R$4,2,TRUE)</f>
        <v>44 - 54</v>
      </c>
    </row>
    <row r="696" spans="2:13" x14ac:dyDescent="0.3">
      <c r="B696" s="11">
        <v>82616416182</v>
      </c>
      <c r="C696" t="s">
        <v>321</v>
      </c>
      <c r="D696" t="s">
        <v>5</v>
      </c>
      <c r="E696" t="s">
        <v>417</v>
      </c>
      <c r="F696" t="s">
        <v>427</v>
      </c>
      <c r="G696" t="s">
        <v>425</v>
      </c>
      <c r="H696" s="1">
        <v>23127</v>
      </c>
      <c r="I696" s="1" t="s">
        <v>436</v>
      </c>
      <c r="J696" t="s">
        <v>446</v>
      </c>
      <c r="K696" s="12">
        <v>9.9</v>
      </c>
      <c r="L696" s="14">
        <f ca="1">TRUNC((TODAY()-TabelaBase[[#This Row],[Data Nascimento]])/365)</f>
        <v>62</v>
      </c>
      <c r="M696" s="14" t="str">
        <f ca="1">HLOOKUP(TabelaBase[[#This Row],[Idade]],$O$3:$R$4,2,TRUE)</f>
        <v>54-70</v>
      </c>
    </row>
    <row r="697" spans="2:13" x14ac:dyDescent="0.3">
      <c r="B697" s="11">
        <v>82696018618</v>
      </c>
      <c r="C697" t="s">
        <v>396</v>
      </c>
      <c r="D697" t="s">
        <v>5</v>
      </c>
      <c r="E697" t="s">
        <v>7</v>
      </c>
      <c r="F697" t="s">
        <v>13</v>
      </c>
      <c r="G697" t="s">
        <v>426</v>
      </c>
      <c r="H697" s="1">
        <v>32839</v>
      </c>
      <c r="I697" s="1" t="s">
        <v>436</v>
      </c>
      <c r="J697" t="s">
        <v>446</v>
      </c>
      <c r="K697" s="12">
        <v>9.9</v>
      </c>
      <c r="L697" s="14">
        <f ca="1">TRUNC((TODAY()-TabelaBase[[#This Row],[Data Nascimento]])/365)</f>
        <v>36</v>
      </c>
      <c r="M697" s="14" t="str">
        <f ca="1">HLOOKUP(TabelaBase[[#This Row],[Idade]],$O$3:$R$4,2,TRUE)</f>
        <v>35 - 44</v>
      </c>
    </row>
    <row r="698" spans="2:13" x14ac:dyDescent="0.3">
      <c r="B698" s="11">
        <v>82955592711</v>
      </c>
      <c r="C698" t="s">
        <v>243</v>
      </c>
      <c r="D698" t="s">
        <v>5</v>
      </c>
      <c r="E698" t="s">
        <v>7</v>
      </c>
      <c r="F698" t="s">
        <v>9</v>
      </c>
      <c r="G698" t="s">
        <v>424</v>
      </c>
      <c r="H698" s="1">
        <v>22832</v>
      </c>
      <c r="I698" s="1" t="s">
        <v>436</v>
      </c>
      <c r="J698" t="s">
        <v>446</v>
      </c>
      <c r="K698" s="12">
        <v>9.9</v>
      </c>
      <c r="L698" s="14">
        <f ca="1">TRUNC((TODAY()-TabelaBase[[#This Row],[Data Nascimento]])/365)</f>
        <v>63</v>
      </c>
      <c r="M698" s="14" t="str">
        <f ca="1">HLOOKUP(TabelaBase[[#This Row],[Idade]],$O$3:$R$4,2,TRUE)</f>
        <v>54-70</v>
      </c>
    </row>
    <row r="699" spans="2:13" x14ac:dyDescent="0.3">
      <c r="B699" s="11">
        <v>83052449006</v>
      </c>
      <c r="C699" t="s">
        <v>157</v>
      </c>
      <c r="D699" t="s">
        <v>6</v>
      </c>
      <c r="E699" t="s">
        <v>7</v>
      </c>
      <c r="F699" t="s">
        <v>427</v>
      </c>
      <c r="G699" t="s">
        <v>425</v>
      </c>
      <c r="H699" s="1">
        <v>22607</v>
      </c>
      <c r="I699" s="1" t="s">
        <v>436</v>
      </c>
      <c r="J699" t="s">
        <v>445</v>
      </c>
      <c r="K699" s="12">
        <v>35.9</v>
      </c>
      <c r="L699" s="14">
        <f ca="1">TRUNC((TODAY()-TabelaBase[[#This Row],[Data Nascimento]])/365)</f>
        <v>64</v>
      </c>
      <c r="M699" s="14" t="str">
        <f ca="1">HLOOKUP(TabelaBase[[#This Row],[Idade]],$O$3:$R$4,2,TRUE)</f>
        <v>54-70</v>
      </c>
    </row>
    <row r="700" spans="2:13" x14ac:dyDescent="0.3">
      <c r="B700" s="11">
        <v>83212266867</v>
      </c>
      <c r="C700" t="s">
        <v>294</v>
      </c>
      <c r="D700" t="s">
        <v>6</v>
      </c>
      <c r="E700" t="s">
        <v>417</v>
      </c>
      <c r="F700" t="s">
        <v>11</v>
      </c>
      <c r="G700" t="s">
        <v>425</v>
      </c>
      <c r="H700" s="1">
        <v>30196</v>
      </c>
      <c r="I700" s="1" t="s">
        <v>435</v>
      </c>
      <c r="J700" t="s">
        <v>447</v>
      </c>
      <c r="K700" s="12">
        <v>79.900000000000006</v>
      </c>
      <c r="L700" s="14">
        <f ca="1">TRUNC((TODAY()-TabelaBase[[#This Row],[Data Nascimento]])/365)</f>
        <v>43</v>
      </c>
      <c r="M700" s="14" t="str">
        <f ca="1">HLOOKUP(TabelaBase[[#This Row],[Idade]],$O$3:$R$4,2,TRUE)</f>
        <v>35 - 44</v>
      </c>
    </row>
    <row r="701" spans="2:13" x14ac:dyDescent="0.3">
      <c r="B701" s="11">
        <v>83445012725</v>
      </c>
      <c r="C701" t="s">
        <v>200</v>
      </c>
      <c r="D701" t="s">
        <v>5</v>
      </c>
      <c r="E701" t="s">
        <v>7</v>
      </c>
      <c r="F701" t="s">
        <v>13</v>
      </c>
      <c r="G701" t="s">
        <v>426</v>
      </c>
      <c r="H701" s="1">
        <v>22265</v>
      </c>
      <c r="I701" s="1" t="s">
        <v>433</v>
      </c>
      <c r="J701" t="s">
        <v>444</v>
      </c>
      <c r="K701" s="12">
        <v>29.9</v>
      </c>
      <c r="L701" s="14">
        <f ca="1">TRUNC((TODAY()-TabelaBase[[#This Row],[Data Nascimento]])/365)</f>
        <v>65</v>
      </c>
      <c r="M701" s="14" t="str">
        <f ca="1">HLOOKUP(TabelaBase[[#This Row],[Idade]],$O$3:$R$4,2,TRUE)</f>
        <v>54-70</v>
      </c>
    </row>
    <row r="702" spans="2:13" x14ac:dyDescent="0.3">
      <c r="B702" s="11">
        <v>83649207260</v>
      </c>
      <c r="C702" t="s">
        <v>29</v>
      </c>
      <c r="D702" t="s">
        <v>6</v>
      </c>
      <c r="E702" t="s">
        <v>8</v>
      </c>
      <c r="F702" t="s">
        <v>427</v>
      </c>
      <c r="G702" t="s">
        <v>426</v>
      </c>
      <c r="H702" s="1">
        <v>28540</v>
      </c>
      <c r="I702" s="1" t="s">
        <v>433</v>
      </c>
      <c r="J702" t="s">
        <v>445</v>
      </c>
      <c r="K702" s="12">
        <v>35.9</v>
      </c>
      <c r="L702" s="14">
        <f ca="1">TRUNC((TODAY()-TabelaBase[[#This Row],[Data Nascimento]])/365)</f>
        <v>47</v>
      </c>
      <c r="M702" s="14" t="str">
        <f ca="1">HLOOKUP(TabelaBase[[#This Row],[Idade]],$O$3:$R$4,2,TRUE)</f>
        <v>44 - 54</v>
      </c>
    </row>
    <row r="703" spans="2:13" x14ac:dyDescent="0.3">
      <c r="B703" s="11">
        <v>83970499766</v>
      </c>
      <c r="C703" t="s">
        <v>222</v>
      </c>
      <c r="D703" t="s">
        <v>6</v>
      </c>
      <c r="E703" t="s">
        <v>8</v>
      </c>
      <c r="F703" t="s">
        <v>11</v>
      </c>
      <c r="G703" t="s">
        <v>424</v>
      </c>
      <c r="H703" s="1">
        <v>35538</v>
      </c>
      <c r="I703" s="1" t="s">
        <v>433</v>
      </c>
      <c r="J703" t="s">
        <v>447</v>
      </c>
      <c r="K703" s="12">
        <v>79.900000000000006</v>
      </c>
      <c r="L703" s="14">
        <f ca="1">TRUNC((TODAY()-TabelaBase[[#This Row],[Data Nascimento]])/365)</f>
        <v>28</v>
      </c>
      <c r="M703" s="14" t="str">
        <f ca="1">HLOOKUP(TabelaBase[[#This Row],[Idade]],$O$3:$R$4,2,TRUE)</f>
        <v>24-34</v>
      </c>
    </row>
    <row r="704" spans="2:13" x14ac:dyDescent="0.3">
      <c r="B704" s="11">
        <v>84131868739</v>
      </c>
      <c r="C704" t="s">
        <v>175</v>
      </c>
      <c r="D704" t="s">
        <v>6</v>
      </c>
      <c r="E704" t="s">
        <v>417</v>
      </c>
      <c r="F704" t="s">
        <v>12</v>
      </c>
      <c r="G704" t="s">
        <v>425</v>
      </c>
      <c r="H704" s="1">
        <v>31946</v>
      </c>
      <c r="I704" s="1" t="s">
        <v>433</v>
      </c>
      <c r="J704" t="s">
        <v>447</v>
      </c>
      <c r="K704" s="12">
        <v>79.900000000000006</v>
      </c>
      <c r="L704" s="14">
        <f ca="1">TRUNC((TODAY()-TabelaBase[[#This Row],[Data Nascimento]])/365)</f>
        <v>38</v>
      </c>
      <c r="M704" s="14" t="str">
        <f ca="1">HLOOKUP(TabelaBase[[#This Row],[Idade]],$O$3:$R$4,2,TRUE)</f>
        <v>35 - 44</v>
      </c>
    </row>
    <row r="705" spans="2:13" x14ac:dyDescent="0.3">
      <c r="B705" s="11">
        <v>84303229207</v>
      </c>
      <c r="C705" t="s">
        <v>405</v>
      </c>
      <c r="D705" t="s">
        <v>6</v>
      </c>
      <c r="E705" t="s">
        <v>7</v>
      </c>
      <c r="F705" t="s">
        <v>427</v>
      </c>
      <c r="G705" t="s">
        <v>425</v>
      </c>
      <c r="H705" s="1">
        <v>25333</v>
      </c>
      <c r="I705" s="1" t="s">
        <v>433</v>
      </c>
      <c r="J705" t="s">
        <v>446</v>
      </c>
      <c r="K705" s="12">
        <v>9.9</v>
      </c>
      <c r="L705" s="14">
        <f ca="1">TRUNC((TODAY()-TabelaBase[[#This Row],[Data Nascimento]])/365)</f>
        <v>56</v>
      </c>
      <c r="M705" s="14" t="str">
        <f ca="1">HLOOKUP(TabelaBase[[#This Row],[Idade]],$O$3:$R$4,2,TRUE)</f>
        <v>54-70</v>
      </c>
    </row>
    <row r="706" spans="2:13" x14ac:dyDescent="0.3">
      <c r="B706" s="11">
        <v>84709823345</v>
      </c>
      <c r="C706" t="s">
        <v>212</v>
      </c>
      <c r="D706" t="s">
        <v>6</v>
      </c>
      <c r="E706" t="s">
        <v>8</v>
      </c>
      <c r="F706" t="s">
        <v>13</v>
      </c>
      <c r="G706" t="s">
        <v>425</v>
      </c>
      <c r="H706" s="1">
        <v>22787</v>
      </c>
      <c r="I706" s="1" t="s">
        <v>430</v>
      </c>
      <c r="J706" t="s">
        <v>446</v>
      </c>
      <c r="K706" s="12">
        <v>9.9</v>
      </c>
      <c r="L706" s="14">
        <f ca="1">TRUNC((TODAY()-TabelaBase[[#This Row],[Data Nascimento]])/365)</f>
        <v>63</v>
      </c>
      <c r="M706" s="14" t="str">
        <f ca="1">HLOOKUP(TabelaBase[[#This Row],[Idade]],$O$3:$R$4,2,TRUE)</f>
        <v>54-70</v>
      </c>
    </row>
    <row r="707" spans="2:13" x14ac:dyDescent="0.3">
      <c r="B707" s="11">
        <v>84913009166</v>
      </c>
      <c r="C707" t="s">
        <v>354</v>
      </c>
      <c r="D707" t="s">
        <v>6</v>
      </c>
      <c r="E707" t="s">
        <v>417</v>
      </c>
      <c r="F707" t="s">
        <v>11</v>
      </c>
      <c r="G707" t="s">
        <v>425</v>
      </c>
      <c r="H707" s="1">
        <v>31861</v>
      </c>
      <c r="I707" s="1" t="s">
        <v>429</v>
      </c>
      <c r="J707" t="s">
        <v>447</v>
      </c>
      <c r="K707" s="12">
        <v>79.900000000000006</v>
      </c>
      <c r="L707" s="14">
        <f ca="1">TRUNC((TODAY()-TabelaBase[[#This Row],[Data Nascimento]])/365)</f>
        <v>38</v>
      </c>
      <c r="M707" s="14" t="str">
        <f ca="1">HLOOKUP(TabelaBase[[#This Row],[Idade]],$O$3:$R$4,2,TRUE)</f>
        <v>35 - 44</v>
      </c>
    </row>
    <row r="708" spans="2:13" x14ac:dyDescent="0.3">
      <c r="B708" s="11">
        <v>84948080328</v>
      </c>
      <c r="C708" t="s">
        <v>257</v>
      </c>
      <c r="D708" t="s">
        <v>5</v>
      </c>
      <c r="E708" t="s">
        <v>7</v>
      </c>
      <c r="F708" t="s">
        <v>427</v>
      </c>
      <c r="G708" t="s">
        <v>425</v>
      </c>
      <c r="H708" s="1">
        <v>34275</v>
      </c>
      <c r="I708" s="1" t="s">
        <v>431</v>
      </c>
      <c r="J708" t="s">
        <v>445</v>
      </c>
      <c r="K708" s="12">
        <v>35.9</v>
      </c>
      <c r="L708" s="14">
        <f ca="1">TRUNC((TODAY()-TabelaBase[[#This Row],[Data Nascimento]])/365)</f>
        <v>32</v>
      </c>
      <c r="M708" s="14" t="str">
        <f ca="1">HLOOKUP(TabelaBase[[#This Row],[Idade]],$O$3:$R$4,2,TRUE)</f>
        <v>24-34</v>
      </c>
    </row>
    <row r="709" spans="2:13" x14ac:dyDescent="0.3">
      <c r="B709" s="11">
        <v>85098405832</v>
      </c>
      <c r="C709" t="s">
        <v>331</v>
      </c>
      <c r="D709" t="s">
        <v>5</v>
      </c>
      <c r="E709" t="s">
        <v>416</v>
      </c>
      <c r="F709" t="s">
        <v>12</v>
      </c>
      <c r="G709" t="s">
        <v>424</v>
      </c>
      <c r="H709" s="1">
        <v>29566</v>
      </c>
      <c r="I709" s="1" t="s">
        <v>432</v>
      </c>
      <c r="J709" t="s">
        <v>446</v>
      </c>
      <c r="K709" s="12">
        <v>9.9</v>
      </c>
      <c r="L709" s="14">
        <f ca="1">TRUNC((TODAY()-TabelaBase[[#This Row],[Data Nascimento]])/365)</f>
        <v>45</v>
      </c>
      <c r="M709" s="14" t="str">
        <f ca="1">HLOOKUP(TabelaBase[[#This Row],[Idade]],$O$3:$R$4,2,TRUE)</f>
        <v>44 - 54</v>
      </c>
    </row>
    <row r="710" spans="2:13" x14ac:dyDescent="0.3">
      <c r="B710" s="11">
        <v>85179233460</v>
      </c>
      <c r="C710" t="s">
        <v>372</v>
      </c>
      <c r="D710" t="s">
        <v>5</v>
      </c>
      <c r="E710" t="s">
        <v>8</v>
      </c>
      <c r="F710" t="s">
        <v>13</v>
      </c>
      <c r="G710" t="s">
        <v>425</v>
      </c>
      <c r="H710" s="1">
        <v>32761</v>
      </c>
      <c r="I710" s="1" t="s">
        <v>434</v>
      </c>
      <c r="J710" t="s">
        <v>446</v>
      </c>
      <c r="K710" s="12">
        <v>9.9</v>
      </c>
      <c r="L710" s="14">
        <f ca="1">TRUNC((TODAY()-TabelaBase[[#This Row],[Data Nascimento]])/365)</f>
        <v>36</v>
      </c>
      <c r="M710" s="14" t="str">
        <f ca="1">HLOOKUP(TabelaBase[[#This Row],[Idade]],$O$3:$R$4,2,TRUE)</f>
        <v>35 - 44</v>
      </c>
    </row>
    <row r="711" spans="2:13" x14ac:dyDescent="0.3">
      <c r="B711" s="11">
        <v>85199827692</v>
      </c>
      <c r="C711" t="s">
        <v>245</v>
      </c>
      <c r="D711" t="s">
        <v>5</v>
      </c>
      <c r="E711" t="s">
        <v>7</v>
      </c>
      <c r="F711" t="s">
        <v>427</v>
      </c>
      <c r="G711" t="s">
        <v>425</v>
      </c>
      <c r="H711" s="1">
        <v>30960</v>
      </c>
      <c r="I711" s="1" t="s">
        <v>430</v>
      </c>
      <c r="J711" t="s">
        <v>445</v>
      </c>
      <c r="K711" s="12">
        <v>35.9</v>
      </c>
      <c r="L711" s="14">
        <f ca="1">TRUNC((TODAY()-TabelaBase[[#This Row],[Data Nascimento]])/365)</f>
        <v>41</v>
      </c>
      <c r="M711" s="14" t="str">
        <f ca="1">HLOOKUP(TabelaBase[[#This Row],[Idade]],$O$3:$R$4,2,TRUE)</f>
        <v>35 - 44</v>
      </c>
    </row>
    <row r="712" spans="2:13" x14ac:dyDescent="0.3">
      <c r="B712" s="11">
        <v>85294985317</v>
      </c>
      <c r="C712" t="s">
        <v>202</v>
      </c>
      <c r="D712" t="s">
        <v>5</v>
      </c>
      <c r="E712" t="s">
        <v>8</v>
      </c>
      <c r="F712" t="s">
        <v>14</v>
      </c>
      <c r="G712" t="s">
        <v>424</v>
      </c>
      <c r="H712" s="1">
        <v>30014</v>
      </c>
      <c r="I712" s="1" t="s">
        <v>435</v>
      </c>
      <c r="J712" t="s">
        <v>444</v>
      </c>
      <c r="K712" s="12">
        <v>29.9</v>
      </c>
      <c r="L712" s="14">
        <f ca="1">TRUNC((TODAY()-TabelaBase[[#This Row],[Data Nascimento]])/365)</f>
        <v>43</v>
      </c>
      <c r="M712" s="14" t="str">
        <f ca="1">HLOOKUP(TabelaBase[[#This Row],[Idade]],$O$3:$R$4,2,TRUE)</f>
        <v>35 - 44</v>
      </c>
    </row>
    <row r="713" spans="2:13" x14ac:dyDescent="0.3">
      <c r="B713" s="11">
        <v>85486291852</v>
      </c>
      <c r="C713" t="s">
        <v>355</v>
      </c>
      <c r="D713" t="s">
        <v>5</v>
      </c>
      <c r="E713" t="s">
        <v>417</v>
      </c>
      <c r="F713" t="s">
        <v>12</v>
      </c>
      <c r="G713" t="s">
        <v>425</v>
      </c>
      <c r="H713" s="1">
        <v>27488</v>
      </c>
      <c r="I713" s="1" t="s">
        <v>436</v>
      </c>
      <c r="J713" t="s">
        <v>446</v>
      </c>
      <c r="K713" s="12">
        <v>9.9</v>
      </c>
      <c r="L713" s="14">
        <f ca="1">TRUNC((TODAY()-TabelaBase[[#This Row],[Data Nascimento]])/365)</f>
        <v>50</v>
      </c>
      <c r="M713" s="14" t="str">
        <f ca="1">HLOOKUP(TabelaBase[[#This Row],[Idade]],$O$3:$R$4,2,TRUE)</f>
        <v>44 - 54</v>
      </c>
    </row>
    <row r="714" spans="2:13" x14ac:dyDescent="0.3">
      <c r="B714" s="11">
        <v>85516322956</v>
      </c>
      <c r="C714" t="s">
        <v>229</v>
      </c>
      <c r="D714" t="s">
        <v>6</v>
      </c>
      <c r="E714" t="s">
        <v>8</v>
      </c>
      <c r="F714" t="s">
        <v>427</v>
      </c>
      <c r="G714" t="s">
        <v>426</v>
      </c>
      <c r="H714" s="1">
        <v>31518</v>
      </c>
      <c r="I714" s="1" t="s">
        <v>430</v>
      </c>
      <c r="J714" t="s">
        <v>445</v>
      </c>
      <c r="K714" s="12">
        <v>35.9</v>
      </c>
      <c r="L714" s="14">
        <f ca="1">TRUNC((TODAY()-TabelaBase[[#This Row],[Data Nascimento]])/365)</f>
        <v>39</v>
      </c>
      <c r="M714" s="14" t="str">
        <f ca="1">HLOOKUP(TabelaBase[[#This Row],[Idade]],$O$3:$R$4,2,TRUE)</f>
        <v>35 - 44</v>
      </c>
    </row>
    <row r="715" spans="2:13" x14ac:dyDescent="0.3">
      <c r="B715" s="11">
        <v>85643949724</v>
      </c>
      <c r="C715" t="s">
        <v>99</v>
      </c>
      <c r="D715" t="s">
        <v>6</v>
      </c>
      <c r="E715" t="s">
        <v>8</v>
      </c>
      <c r="F715" t="s">
        <v>9</v>
      </c>
      <c r="G715" t="s">
        <v>426</v>
      </c>
      <c r="H715" s="1">
        <v>29776</v>
      </c>
      <c r="I715" s="1" t="s">
        <v>435</v>
      </c>
      <c r="J715" t="s">
        <v>446</v>
      </c>
      <c r="K715" s="12">
        <v>9.9</v>
      </c>
      <c r="L715" s="14">
        <f ca="1">TRUNC((TODAY()-TabelaBase[[#This Row],[Data Nascimento]])/365)</f>
        <v>44</v>
      </c>
      <c r="M715" s="14" t="str">
        <f ca="1">HLOOKUP(TabelaBase[[#This Row],[Idade]],$O$3:$R$4,2,TRUE)</f>
        <v>44 - 54</v>
      </c>
    </row>
    <row r="716" spans="2:13" x14ac:dyDescent="0.3">
      <c r="B716" s="11">
        <v>85741899575</v>
      </c>
      <c r="C716" t="s">
        <v>313</v>
      </c>
      <c r="D716" t="s">
        <v>6</v>
      </c>
      <c r="E716" t="s">
        <v>7</v>
      </c>
      <c r="F716" t="s">
        <v>12</v>
      </c>
      <c r="G716" t="s">
        <v>424</v>
      </c>
      <c r="H716" s="1">
        <v>23831</v>
      </c>
      <c r="I716" s="1" t="s">
        <v>436</v>
      </c>
      <c r="J716" t="s">
        <v>445</v>
      </c>
      <c r="K716" s="12">
        <v>35.9</v>
      </c>
      <c r="L716" s="14">
        <f ca="1">TRUNC((TODAY()-TabelaBase[[#This Row],[Data Nascimento]])/365)</f>
        <v>60</v>
      </c>
      <c r="M716" s="14" t="str">
        <f ca="1">HLOOKUP(TabelaBase[[#This Row],[Idade]],$O$3:$R$4,2,TRUE)</f>
        <v>54-70</v>
      </c>
    </row>
    <row r="717" spans="2:13" x14ac:dyDescent="0.3">
      <c r="B717" s="11">
        <v>85811272833</v>
      </c>
      <c r="C717" t="s">
        <v>302</v>
      </c>
      <c r="D717" t="s">
        <v>6</v>
      </c>
      <c r="E717" t="s">
        <v>8</v>
      </c>
      <c r="F717" t="s">
        <v>13</v>
      </c>
      <c r="G717" t="s">
        <v>424</v>
      </c>
      <c r="H717" s="1">
        <v>30075</v>
      </c>
      <c r="I717" s="1" t="s">
        <v>433</v>
      </c>
      <c r="J717" t="s">
        <v>446</v>
      </c>
      <c r="K717" s="12">
        <v>9.9</v>
      </c>
      <c r="L717" s="14">
        <f ca="1">TRUNC((TODAY()-TabelaBase[[#This Row],[Data Nascimento]])/365)</f>
        <v>43</v>
      </c>
      <c r="M717" s="14" t="str">
        <f ca="1">HLOOKUP(TabelaBase[[#This Row],[Idade]],$O$3:$R$4,2,TRUE)</f>
        <v>35 - 44</v>
      </c>
    </row>
    <row r="718" spans="2:13" x14ac:dyDescent="0.3">
      <c r="B718" s="11">
        <v>85815028040</v>
      </c>
      <c r="C718" t="s">
        <v>119</v>
      </c>
      <c r="D718" t="s">
        <v>6</v>
      </c>
      <c r="E718" t="s">
        <v>8</v>
      </c>
      <c r="F718" t="s">
        <v>427</v>
      </c>
      <c r="G718" t="s">
        <v>425</v>
      </c>
      <c r="H718" s="1">
        <v>22683</v>
      </c>
      <c r="I718" s="1" t="s">
        <v>433</v>
      </c>
      <c r="J718" t="s">
        <v>444</v>
      </c>
      <c r="K718" s="12">
        <v>29.9</v>
      </c>
      <c r="L718" s="14">
        <f ca="1">TRUNC((TODAY()-TabelaBase[[#This Row],[Data Nascimento]])/365)</f>
        <v>63</v>
      </c>
      <c r="M718" s="14" t="str">
        <f ca="1">HLOOKUP(TabelaBase[[#This Row],[Idade]],$O$3:$R$4,2,TRUE)</f>
        <v>54-70</v>
      </c>
    </row>
    <row r="719" spans="2:13" x14ac:dyDescent="0.3">
      <c r="B719" s="11">
        <v>85835308143</v>
      </c>
      <c r="C719" t="s">
        <v>362</v>
      </c>
      <c r="D719" t="s">
        <v>5</v>
      </c>
      <c r="E719" t="s">
        <v>8</v>
      </c>
      <c r="F719" t="s">
        <v>13</v>
      </c>
      <c r="G719" t="s">
        <v>424</v>
      </c>
      <c r="H719" s="1">
        <v>34414</v>
      </c>
      <c r="I719" s="1" t="s">
        <v>433</v>
      </c>
      <c r="J719" t="s">
        <v>447</v>
      </c>
      <c r="K719" s="12">
        <v>79.900000000000006</v>
      </c>
      <c r="L719" s="14">
        <f ca="1">TRUNC((TODAY()-TabelaBase[[#This Row],[Data Nascimento]])/365)</f>
        <v>31</v>
      </c>
      <c r="M719" s="14" t="str">
        <f ca="1">HLOOKUP(TabelaBase[[#This Row],[Idade]],$O$3:$R$4,2,TRUE)</f>
        <v>24-34</v>
      </c>
    </row>
    <row r="720" spans="2:13" x14ac:dyDescent="0.3">
      <c r="B720" s="11">
        <v>85880197310</v>
      </c>
      <c r="C720" t="s">
        <v>181</v>
      </c>
      <c r="D720" t="s">
        <v>5</v>
      </c>
      <c r="E720" t="s">
        <v>417</v>
      </c>
      <c r="F720" t="s">
        <v>427</v>
      </c>
      <c r="G720" t="s">
        <v>425</v>
      </c>
      <c r="H720" s="1">
        <v>28279</v>
      </c>
      <c r="I720" s="1" t="s">
        <v>433</v>
      </c>
      <c r="J720" t="s">
        <v>445</v>
      </c>
      <c r="K720" s="12">
        <v>35.9</v>
      </c>
      <c r="L720" s="14">
        <f ca="1">TRUNC((TODAY()-TabelaBase[[#This Row],[Data Nascimento]])/365)</f>
        <v>48</v>
      </c>
      <c r="M720" s="14" t="str">
        <f ca="1">HLOOKUP(TabelaBase[[#This Row],[Idade]],$O$3:$R$4,2,TRUE)</f>
        <v>44 - 54</v>
      </c>
    </row>
    <row r="721" spans="2:13" x14ac:dyDescent="0.3">
      <c r="B721" s="11">
        <v>86054892010</v>
      </c>
      <c r="C721" t="s">
        <v>253</v>
      </c>
      <c r="D721" t="s">
        <v>5</v>
      </c>
      <c r="E721" t="s">
        <v>7</v>
      </c>
      <c r="F721" t="s">
        <v>427</v>
      </c>
      <c r="G721" t="s">
        <v>424</v>
      </c>
      <c r="H721" s="1">
        <v>30942</v>
      </c>
      <c r="I721" s="1" t="s">
        <v>433</v>
      </c>
      <c r="J721" t="s">
        <v>445</v>
      </c>
      <c r="K721" s="12">
        <v>35.9</v>
      </c>
      <c r="L721" s="14">
        <f ca="1">TRUNC((TODAY()-TabelaBase[[#This Row],[Data Nascimento]])/365)</f>
        <v>41</v>
      </c>
      <c r="M721" s="14" t="str">
        <f ca="1">HLOOKUP(TabelaBase[[#This Row],[Idade]],$O$3:$R$4,2,TRUE)</f>
        <v>35 - 44</v>
      </c>
    </row>
    <row r="722" spans="2:13" x14ac:dyDescent="0.3">
      <c r="B722" s="11">
        <v>86094864413</v>
      </c>
      <c r="C722" t="s">
        <v>71</v>
      </c>
      <c r="D722" t="s">
        <v>5</v>
      </c>
      <c r="E722" t="s">
        <v>417</v>
      </c>
      <c r="F722" t="s">
        <v>427</v>
      </c>
      <c r="G722" t="s">
        <v>424</v>
      </c>
      <c r="H722" s="1">
        <v>31474</v>
      </c>
      <c r="I722" s="1" t="s">
        <v>433</v>
      </c>
      <c r="J722" t="s">
        <v>444</v>
      </c>
      <c r="K722" s="12">
        <v>29.9</v>
      </c>
      <c r="L722" s="14">
        <f ca="1">TRUNC((TODAY()-TabelaBase[[#This Row],[Data Nascimento]])/365)</f>
        <v>39</v>
      </c>
      <c r="M722" s="14" t="str">
        <f ca="1">HLOOKUP(TabelaBase[[#This Row],[Idade]],$O$3:$R$4,2,TRUE)</f>
        <v>35 - 44</v>
      </c>
    </row>
    <row r="723" spans="2:13" x14ac:dyDescent="0.3">
      <c r="B723" s="11">
        <v>86499663957</v>
      </c>
      <c r="C723" t="s">
        <v>317</v>
      </c>
      <c r="D723" t="s">
        <v>5</v>
      </c>
      <c r="E723" t="s">
        <v>7</v>
      </c>
      <c r="F723" t="s">
        <v>427</v>
      </c>
      <c r="G723" t="s">
        <v>425</v>
      </c>
      <c r="H723" s="1">
        <v>26710</v>
      </c>
      <c r="I723" s="1" t="s">
        <v>433</v>
      </c>
      <c r="J723" t="s">
        <v>445</v>
      </c>
      <c r="K723" s="12">
        <v>35.9</v>
      </c>
      <c r="L723" s="14">
        <f ca="1">TRUNC((TODAY()-TabelaBase[[#This Row],[Data Nascimento]])/365)</f>
        <v>52</v>
      </c>
      <c r="M723" s="14" t="str">
        <f ca="1">HLOOKUP(TabelaBase[[#This Row],[Idade]],$O$3:$R$4,2,TRUE)</f>
        <v>44 - 54</v>
      </c>
    </row>
    <row r="724" spans="2:13" x14ac:dyDescent="0.3">
      <c r="B724" s="11">
        <v>86852773998</v>
      </c>
      <c r="C724" t="s">
        <v>407</v>
      </c>
      <c r="D724" t="s">
        <v>6</v>
      </c>
      <c r="E724" t="s">
        <v>7</v>
      </c>
      <c r="F724" t="s">
        <v>427</v>
      </c>
      <c r="G724" t="s">
        <v>425</v>
      </c>
      <c r="H724" s="1">
        <v>26154</v>
      </c>
      <c r="I724" s="1" t="s">
        <v>433</v>
      </c>
      <c r="J724" t="s">
        <v>444</v>
      </c>
      <c r="K724" s="12">
        <v>29.9</v>
      </c>
      <c r="L724" s="14">
        <f ca="1">TRUNC((TODAY()-TabelaBase[[#This Row],[Data Nascimento]])/365)</f>
        <v>54</v>
      </c>
      <c r="M724" s="14" t="str">
        <f ca="1">HLOOKUP(TabelaBase[[#This Row],[Idade]],$O$3:$R$4,2,TRUE)</f>
        <v>54-70</v>
      </c>
    </row>
    <row r="725" spans="2:13" x14ac:dyDescent="0.3">
      <c r="B725" s="11">
        <v>86978937487</v>
      </c>
      <c r="C725" t="s">
        <v>238</v>
      </c>
      <c r="D725" t="s">
        <v>6</v>
      </c>
      <c r="E725" t="s">
        <v>417</v>
      </c>
      <c r="F725" t="s">
        <v>427</v>
      </c>
      <c r="G725" t="s">
        <v>426</v>
      </c>
      <c r="H725" s="1">
        <v>23368</v>
      </c>
      <c r="I725" s="1" t="s">
        <v>433</v>
      </c>
      <c r="J725" t="s">
        <v>444</v>
      </c>
      <c r="K725" s="12">
        <v>29.9</v>
      </c>
      <c r="L725" s="14">
        <f ca="1">TRUNC((TODAY()-TabelaBase[[#This Row],[Data Nascimento]])/365)</f>
        <v>62</v>
      </c>
      <c r="M725" s="14" t="str">
        <f ca="1">HLOOKUP(TabelaBase[[#This Row],[Idade]],$O$3:$R$4,2,TRUE)</f>
        <v>54-70</v>
      </c>
    </row>
    <row r="726" spans="2:13" x14ac:dyDescent="0.3">
      <c r="B726" s="11">
        <v>87196399314</v>
      </c>
      <c r="C726" t="s">
        <v>264</v>
      </c>
      <c r="D726" t="s">
        <v>6</v>
      </c>
      <c r="E726" t="s">
        <v>417</v>
      </c>
      <c r="F726" t="s">
        <v>13</v>
      </c>
      <c r="G726" t="s">
        <v>425</v>
      </c>
      <c r="H726" s="1">
        <v>23107</v>
      </c>
      <c r="I726" s="1" t="s">
        <v>429</v>
      </c>
      <c r="J726" t="s">
        <v>445</v>
      </c>
      <c r="K726" s="12">
        <v>35.9</v>
      </c>
      <c r="L726" s="14">
        <f ca="1">TRUNC((TODAY()-TabelaBase[[#This Row],[Data Nascimento]])/365)</f>
        <v>62</v>
      </c>
      <c r="M726" s="14" t="str">
        <f ca="1">HLOOKUP(TabelaBase[[#This Row],[Idade]],$O$3:$R$4,2,TRUE)</f>
        <v>54-70</v>
      </c>
    </row>
    <row r="727" spans="2:13" x14ac:dyDescent="0.3">
      <c r="B727" s="11">
        <v>87285460641</v>
      </c>
      <c r="C727" t="s">
        <v>256</v>
      </c>
      <c r="D727" t="s">
        <v>6</v>
      </c>
      <c r="E727" t="s">
        <v>7</v>
      </c>
      <c r="F727" t="s">
        <v>14</v>
      </c>
      <c r="G727" t="s">
        <v>426</v>
      </c>
      <c r="H727" s="1">
        <v>31436</v>
      </c>
      <c r="I727" s="1" t="s">
        <v>432</v>
      </c>
      <c r="J727" t="s">
        <v>444</v>
      </c>
      <c r="K727" s="12">
        <v>29.9</v>
      </c>
      <c r="L727" s="14">
        <f ca="1">TRUNC((TODAY()-TabelaBase[[#This Row],[Data Nascimento]])/365)</f>
        <v>39</v>
      </c>
      <c r="M727" s="14" t="str">
        <f ca="1">HLOOKUP(TabelaBase[[#This Row],[Idade]],$O$3:$R$4,2,TRUE)</f>
        <v>35 - 44</v>
      </c>
    </row>
    <row r="728" spans="2:13" x14ac:dyDescent="0.3">
      <c r="B728" s="11">
        <v>87414402435</v>
      </c>
      <c r="C728" t="s">
        <v>259</v>
      </c>
      <c r="D728" t="s">
        <v>5</v>
      </c>
      <c r="E728" t="s">
        <v>8</v>
      </c>
      <c r="F728" t="s">
        <v>12</v>
      </c>
      <c r="G728" t="s">
        <v>426</v>
      </c>
      <c r="H728" s="1">
        <v>28767</v>
      </c>
      <c r="I728" s="1" t="s">
        <v>436</v>
      </c>
      <c r="J728" t="s">
        <v>446</v>
      </c>
      <c r="K728" s="12">
        <v>9.9</v>
      </c>
      <c r="L728" s="14">
        <f ca="1">TRUNC((TODAY()-TabelaBase[[#This Row],[Data Nascimento]])/365)</f>
        <v>47</v>
      </c>
      <c r="M728" s="14" t="str">
        <f ca="1">HLOOKUP(TabelaBase[[#This Row],[Idade]],$O$3:$R$4,2,TRUE)</f>
        <v>44 - 54</v>
      </c>
    </row>
    <row r="729" spans="2:13" x14ac:dyDescent="0.3">
      <c r="B729" s="11">
        <v>87420964182</v>
      </c>
      <c r="C729" t="s">
        <v>363</v>
      </c>
      <c r="D729" t="s">
        <v>5</v>
      </c>
      <c r="E729" t="s">
        <v>7</v>
      </c>
      <c r="F729" t="s">
        <v>9</v>
      </c>
      <c r="G729" t="s">
        <v>424</v>
      </c>
      <c r="H729" s="1">
        <v>28768</v>
      </c>
      <c r="I729" s="1" t="s">
        <v>436</v>
      </c>
      <c r="J729" t="s">
        <v>446</v>
      </c>
      <c r="K729" s="12">
        <v>9.9</v>
      </c>
      <c r="L729" s="14">
        <f ca="1">TRUNC((TODAY()-TabelaBase[[#This Row],[Data Nascimento]])/365)</f>
        <v>47</v>
      </c>
      <c r="M729" s="14" t="str">
        <f ca="1">HLOOKUP(TabelaBase[[#This Row],[Idade]],$O$3:$R$4,2,TRUE)</f>
        <v>44 - 54</v>
      </c>
    </row>
    <row r="730" spans="2:13" x14ac:dyDescent="0.3">
      <c r="B730" s="11">
        <v>87436471754</v>
      </c>
      <c r="C730" t="s">
        <v>287</v>
      </c>
      <c r="D730" t="s">
        <v>6</v>
      </c>
      <c r="E730" t="s">
        <v>7</v>
      </c>
      <c r="F730" t="s">
        <v>427</v>
      </c>
      <c r="G730" t="s">
        <v>425</v>
      </c>
      <c r="H730" s="1">
        <v>21950</v>
      </c>
      <c r="I730" s="1" t="s">
        <v>436</v>
      </c>
      <c r="J730" t="s">
        <v>444</v>
      </c>
      <c r="K730" s="12">
        <v>29.9</v>
      </c>
      <c r="L730" s="14">
        <f ca="1">TRUNC((TODAY()-TabelaBase[[#This Row],[Data Nascimento]])/365)</f>
        <v>65</v>
      </c>
      <c r="M730" s="14" t="str">
        <f ca="1">HLOOKUP(TabelaBase[[#This Row],[Idade]],$O$3:$R$4,2,TRUE)</f>
        <v>54-70</v>
      </c>
    </row>
    <row r="731" spans="2:13" x14ac:dyDescent="0.3">
      <c r="B731" s="11">
        <v>87558717722</v>
      </c>
      <c r="C731" t="s">
        <v>147</v>
      </c>
      <c r="D731" t="s">
        <v>6</v>
      </c>
      <c r="E731" t="s">
        <v>7</v>
      </c>
      <c r="F731" t="s">
        <v>9</v>
      </c>
      <c r="G731" t="s">
        <v>425</v>
      </c>
      <c r="H731" s="1">
        <v>28845</v>
      </c>
      <c r="I731" s="1" t="s">
        <v>436</v>
      </c>
      <c r="J731" t="s">
        <v>446</v>
      </c>
      <c r="K731" s="12">
        <v>9.9</v>
      </c>
      <c r="L731" s="14">
        <f ca="1">TRUNC((TODAY()-TabelaBase[[#This Row],[Data Nascimento]])/365)</f>
        <v>47</v>
      </c>
      <c r="M731" s="14" t="str">
        <f ca="1">HLOOKUP(TabelaBase[[#This Row],[Idade]],$O$3:$R$4,2,TRUE)</f>
        <v>44 - 54</v>
      </c>
    </row>
    <row r="732" spans="2:13" x14ac:dyDescent="0.3">
      <c r="B732" s="11">
        <v>87686193175</v>
      </c>
      <c r="C732" t="s">
        <v>118</v>
      </c>
      <c r="D732" t="s">
        <v>5</v>
      </c>
      <c r="E732" t="s">
        <v>417</v>
      </c>
      <c r="F732" t="s">
        <v>427</v>
      </c>
      <c r="G732" t="s">
        <v>426</v>
      </c>
      <c r="H732" s="1">
        <v>35825</v>
      </c>
      <c r="I732" s="1" t="s">
        <v>436</v>
      </c>
      <c r="J732" t="s">
        <v>444</v>
      </c>
      <c r="K732" s="12">
        <v>29.9</v>
      </c>
      <c r="L732" s="14">
        <f ca="1">TRUNC((TODAY()-TabelaBase[[#This Row],[Data Nascimento]])/365)</f>
        <v>27</v>
      </c>
      <c r="M732" s="14" t="str">
        <f ca="1">HLOOKUP(TabelaBase[[#This Row],[Idade]],$O$3:$R$4,2,TRUE)</f>
        <v>24-34</v>
      </c>
    </row>
    <row r="733" spans="2:13" x14ac:dyDescent="0.3">
      <c r="B733" s="11">
        <v>87868289945</v>
      </c>
      <c r="C733" t="s">
        <v>413</v>
      </c>
      <c r="D733" t="s">
        <v>6</v>
      </c>
      <c r="E733" t="s">
        <v>7</v>
      </c>
      <c r="F733" t="s">
        <v>427</v>
      </c>
      <c r="G733" t="s">
        <v>424</v>
      </c>
      <c r="H733" s="1">
        <v>35852</v>
      </c>
      <c r="I733" s="1" t="s">
        <v>436</v>
      </c>
      <c r="J733" t="s">
        <v>445</v>
      </c>
      <c r="K733" s="12">
        <v>35.9</v>
      </c>
      <c r="L733" s="14">
        <f ca="1">TRUNC((TODAY()-TabelaBase[[#This Row],[Data Nascimento]])/365)</f>
        <v>27</v>
      </c>
      <c r="M733" s="14" t="str">
        <f ca="1">HLOOKUP(TabelaBase[[#This Row],[Idade]],$O$3:$R$4,2,TRUE)</f>
        <v>24-34</v>
      </c>
    </row>
    <row r="734" spans="2:13" x14ac:dyDescent="0.3">
      <c r="B734" s="11">
        <v>87892351305</v>
      </c>
      <c r="C734" t="s">
        <v>47</v>
      </c>
      <c r="D734" t="s">
        <v>6</v>
      </c>
      <c r="E734" t="s">
        <v>7</v>
      </c>
      <c r="F734" t="s">
        <v>427</v>
      </c>
      <c r="G734" t="s">
        <v>425</v>
      </c>
      <c r="H734" s="1">
        <v>32482</v>
      </c>
      <c r="I734" s="1" t="s">
        <v>435</v>
      </c>
      <c r="J734" t="s">
        <v>444</v>
      </c>
      <c r="K734" s="12">
        <v>29.9</v>
      </c>
      <c r="L734" s="14">
        <f ca="1">TRUNC((TODAY()-TabelaBase[[#This Row],[Data Nascimento]])/365)</f>
        <v>37</v>
      </c>
      <c r="M734" s="14" t="str">
        <f ca="1">HLOOKUP(TabelaBase[[#This Row],[Idade]],$O$3:$R$4,2,TRUE)</f>
        <v>35 - 44</v>
      </c>
    </row>
    <row r="735" spans="2:13" x14ac:dyDescent="0.3">
      <c r="B735" s="11">
        <v>88165679068</v>
      </c>
      <c r="C735" t="s">
        <v>272</v>
      </c>
      <c r="D735" t="s">
        <v>6</v>
      </c>
      <c r="E735" t="s">
        <v>8</v>
      </c>
      <c r="F735" t="s">
        <v>13</v>
      </c>
      <c r="G735" t="s">
        <v>425</v>
      </c>
      <c r="H735" s="1">
        <v>32167</v>
      </c>
      <c r="I735" s="1" t="s">
        <v>433</v>
      </c>
      <c r="J735" t="s">
        <v>444</v>
      </c>
      <c r="K735" s="12">
        <v>29.9</v>
      </c>
      <c r="L735" s="14">
        <f ca="1">TRUNC((TODAY()-TabelaBase[[#This Row],[Data Nascimento]])/365)</f>
        <v>37</v>
      </c>
      <c r="M735" s="14" t="str">
        <f ca="1">HLOOKUP(TabelaBase[[#This Row],[Idade]],$O$3:$R$4,2,TRUE)</f>
        <v>35 - 44</v>
      </c>
    </row>
    <row r="736" spans="2:13" x14ac:dyDescent="0.3">
      <c r="B736" s="11">
        <v>88238264803</v>
      </c>
      <c r="C736" t="s">
        <v>111</v>
      </c>
      <c r="D736" t="s">
        <v>5</v>
      </c>
      <c r="E736" t="s">
        <v>417</v>
      </c>
      <c r="F736" t="s">
        <v>9</v>
      </c>
      <c r="G736" t="s">
        <v>424</v>
      </c>
      <c r="H736" s="1">
        <v>26611</v>
      </c>
      <c r="I736" s="1" t="s">
        <v>433</v>
      </c>
      <c r="J736" t="s">
        <v>446</v>
      </c>
      <c r="K736" s="12">
        <v>9.9</v>
      </c>
      <c r="L736" s="14">
        <f ca="1">TRUNC((TODAY()-TabelaBase[[#This Row],[Data Nascimento]])/365)</f>
        <v>53</v>
      </c>
      <c r="M736" s="14" t="str">
        <f ca="1">HLOOKUP(TabelaBase[[#This Row],[Idade]],$O$3:$R$4,2,TRUE)</f>
        <v>44 - 54</v>
      </c>
    </row>
    <row r="737" spans="2:13" x14ac:dyDescent="0.3">
      <c r="B737" s="11">
        <v>88285918314</v>
      </c>
      <c r="C737" t="s">
        <v>357</v>
      </c>
      <c r="D737" t="s">
        <v>5</v>
      </c>
      <c r="E737" t="s">
        <v>7</v>
      </c>
      <c r="F737" t="s">
        <v>427</v>
      </c>
      <c r="G737" t="s">
        <v>425</v>
      </c>
      <c r="H737" s="1">
        <v>32585</v>
      </c>
      <c r="I737" s="1" t="s">
        <v>433</v>
      </c>
      <c r="J737" t="s">
        <v>446</v>
      </c>
      <c r="K737" s="12">
        <v>9.9</v>
      </c>
      <c r="L737" s="14">
        <f ca="1">TRUNC((TODAY()-TabelaBase[[#This Row],[Data Nascimento]])/365)</f>
        <v>36</v>
      </c>
      <c r="M737" s="14" t="str">
        <f ca="1">HLOOKUP(TabelaBase[[#This Row],[Idade]],$O$3:$R$4,2,TRUE)</f>
        <v>35 - 44</v>
      </c>
    </row>
    <row r="738" spans="2:13" x14ac:dyDescent="0.3">
      <c r="B738" s="11">
        <v>88425685425</v>
      </c>
      <c r="C738" t="s">
        <v>67</v>
      </c>
      <c r="D738" t="s">
        <v>6</v>
      </c>
      <c r="E738" t="s">
        <v>7</v>
      </c>
      <c r="F738" t="s">
        <v>12</v>
      </c>
      <c r="G738" t="s">
        <v>425</v>
      </c>
      <c r="H738" s="1">
        <v>23204</v>
      </c>
      <c r="I738" s="1" t="s">
        <v>433</v>
      </c>
      <c r="J738" t="s">
        <v>446</v>
      </c>
      <c r="K738" s="12">
        <v>9.9</v>
      </c>
      <c r="L738" s="14">
        <f ca="1">TRUNC((TODAY()-TabelaBase[[#This Row],[Data Nascimento]])/365)</f>
        <v>62</v>
      </c>
      <c r="M738" s="14" t="str">
        <f ca="1">HLOOKUP(TabelaBase[[#This Row],[Idade]],$O$3:$R$4,2,TRUE)</f>
        <v>54-70</v>
      </c>
    </row>
    <row r="739" spans="2:13" x14ac:dyDescent="0.3">
      <c r="B739" s="11">
        <v>88756128664</v>
      </c>
      <c r="C739" t="s">
        <v>254</v>
      </c>
      <c r="D739" t="s">
        <v>6</v>
      </c>
      <c r="E739" t="s">
        <v>417</v>
      </c>
      <c r="F739" t="s">
        <v>13</v>
      </c>
      <c r="G739" t="s">
        <v>425</v>
      </c>
      <c r="H739" s="1">
        <v>29275</v>
      </c>
      <c r="I739" s="1" t="s">
        <v>433</v>
      </c>
      <c r="J739" t="s">
        <v>446</v>
      </c>
      <c r="K739" s="12">
        <v>9.9</v>
      </c>
      <c r="L739" s="14">
        <f ca="1">TRUNC((TODAY()-TabelaBase[[#This Row],[Data Nascimento]])/365)</f>
        <v>45</v>
      </c>
      <c r="M739" s="14" t="str">
        <f ca="1">HLOOKUP(TabelaBase[[#This Row],[Idade]],$O$3:$R$4,2,TRUE)</f>
        <v>44 - 54</v>
      </c>
    </row>
    <row r="740" spans="2:13" x14ac:dyDescent="0.3">
      <c r="B740" s="11">
        <v>88896839501</v>
      </c>
      <c r="C740" t="s">
        <v>275</v>
      </c>
      <c r="D740" t="s">
        <v>5</v>
      </c>
      <c r="E740" t="s">
        <v>417</v>
      </c>
      <c r="F740" t="s">
        <v>13</v>
      </c>
      <c r="G740" t="s">
        <v>425</v>
      </c>
      <c r="H740" s="1">
        <v>23187</v>
      </c>
      <c r="I740" s="1" t="s">
        <v>430</v>
      </c>
      <c r="J740" t="s">
        <v>444</v>
      </c>
      <c r="K740" s="12">
        <v>29.9</v>
      </c>
      <c r="L740" s="14">
        <f ca="1">TRUNC((TODAY()-TabelaBase[[#This Row],[Data Nascimento]])/365)</f>
        <v>62</v>
      </c>
      <c r="M740" s="14" t="str">
        <f ca="1">HLOOKUP(TabelaBase[[#This Row],[Idade]],$O$3:$R$4,2,TRUE)</f>
        <v>54-70</v>
      </c>
    </row>
    <row r="741" spans="2:13" x14ac:dyDescent="0.3">
      <c r="B741" s="11">
        <v>89152601477</v>
      </c>
      <c r="C741" t="s">
        <v>380</v>
      </c>
      <c r="D741" t="s">
        <v>5</v>
      </c>
      <c r="E741" t="s">
        <v>7</v>
      </c>
      <c r="F741" t="s">
        <v>13</v>
      </c>
      <c r="G741" t="s">
        <v>425</v>
      </c>
      <c r="H741" s="1">
        <v>32480</v>
      </c>
      <c r="I741" s="1" t="s">
        <v>429</v>
      </c>
      <c r="J741" t="s">
        <v>446</v>
      </c>
      <c r="K741" s="12">
        <v>9.9</v>
      </c>
      <c r="L741" s="14">
        <f ca="1">TRUNC((TODAY()-TabelaBase[[#This Row],[Data Nascimento]])/365)</f>
        <v>37</v>
      </c>
      <c r="M741" s="14" t="str">
        <f ca="1">HLOOKUP(TabelaBase[[#This Row],[Idade]],$O$3:$R$4,2,TRUE)</f>
        <v>35 - 44</v>
      </c>
    </row>
    <row r="742" spans="2:13" x14ac:dyDescent="0.3">
      <c r="B742" s="11">
        <v>89207609844</v>
      </c>
      <c r="C742" t="s">
        <v>210</v>
      </c>
      <c r="D742" t="s">
        <v>6</v>
      </c>
      <c r="E742" t="s">
        <v>7</v>
      </c>
      <c r="F742" t="s">
        <v>11</v>
      </c>
      <c r="G742" t="s">
        <v>426</v>
      </c>
      <c r="H742" s="1">
        <v>26402</v>
      </c>
      <c r="I742" s="1" t="s">
        <v>431</v>
      </c>
      <c r="J742" t="s">
        <v>447</v>
      </c>
      <c r="K742" s="12">
        <v>79.900000000000006</v>
      </c>
      <c r="L742" s="14">
        <f ca="1">TRUNC((TODAY()-TabelaBase[[#This Row],[Data Nascimento]])/365)</f>
        <v>53</v>
      </c>
      <c r="M742" s="14" t="str">
        <f ca="1">HLOOKUP(TabelaBase[[#This Row],[Idade]],$O$3:$R$4,2,TRUE)</f>
        <v>44 - 54</v>
      </c>
    </row>
    <row r="743" spans="2:13" x14ac:dyDescent="0.3">
      <c r="B743" s="11">
        <v>89438414320</v>
      </c>
      <c r="C743" t="s">
        <v>144</v>
      </c>
      <c r="D743" t="s">
        <v>6</v>
      </c>
      <c r="E743" t="s">
        <v>417</v>
      </c>
      <c r="F743" t="s">
        <v>13</v>
      </c>
      <c r="G743" t="s">
        <v>425</v>
      </c>
      <c r="H743" s="1">
        <v>35596</v>
      </c>
      <c r="I743" s="1" t="s">
        <v>432</v>
      </c>
      <c r="J743" t="s">
        <v>445</v>
      </c>
      <c r="K743" s="12">
        <v>35.9</v>
      </c>
      <c r="L743" s="14">
        <f ca="1">TRUNC((TODAY()-TabelaBase[[#This Row],[Data Nascimento]])/365)</f>
        <v>28</v>
      </c>
      <c r="M743" s="14" t="str">
        <f ca="1">HLOOKUP(TabelaBase[[#This Row],[Idade]],$O$3:$R$4,2,TRUE)</f>
        <v>24-34</v>
      </c>
    </row>
    <row r="744" spans="2:13" x14ac:dyDescent="0.3">
      <c r="B744" s="11">
        <v>89439201236</v>
      </c>
      <c r="C744" t="s">
        <v>236</v>
      </c>
      <c r="D744" t="s">
        <v>6</v>
      </c>
      <c r="E744" t="s">
        <v>7</v>
      </c>
      <c r="F744" t="s">
        <v>13</v>
      </c>
      <c r="G744" t="s">
        <v>426</v>
      </c>
      <c r="H744" s="1">
        <v>28810</v>
      </c>
      <c r="I744" s="1" t="s">
        <v>434</v>
      </c>
      <c r="J744" t="s">
        <v>446</v>
      </c>
      <c r="K744" s="12">
        <v>9.9</v>
      </c>
      <c r="L744" s="14">
        <f ca="1">TRUNC((TODAY()-TabelaBase[[#This Row],[Data Nascimento]])/365)</f>
        <v>47</v>
      </c>
      <c r="M744" s="14" t="str">
        <f ca="1">HLOOKUP(TabelaBase[[#This Row],[Idade]],$O$3:$R$4,2,TRUE)</f>
        <v>44 - 54</v>
      </c>
    </row>
    <row r="745" spans="2:13" x14ac:dyDescent="0.3">
      <c r="B745" s="11">
        <v>89576352486</v>
      </c>
      <c r="C745" t="s">
        <v>258</v>
      </c>
      <c r="D745" t="s">
        <v>6</v>
      </c>
      <c r="E745" t="s">
        <v>417</v>
      </c>
      <c r="F745" t="s">
        <v>11</v>
      </c>
      <c r="G745" t="s">
        <v>426</v>
      </c>
      <c r="H745" s="1">
        <v>34800</v>
      </c>
      <c r="I745" s="1" t="s">
        <v>430</v>
      </c>
      <c r="J745" t="s">
        <v>447</v>
      </c>
      <c r="K745" s="12">
        <v>79.900000000000006</v>
      </c>
      <c r="L745" s="14">
        <f ca="1">TRUNC((TODAY()-TabelaBase[[#This Row],[Data Nascimento]])/365)</f>
        <v>30</v>
      </c>
      <c r="M745" s="14" t="str">
        <f ca="1">HLOOKUP(TabelaBase[[#This Row],[Idade]],$O$3:$R$4,2,TRUE)</f>
        <v>24-34</v>
      </c>
    </row>
    <row r="746" spans="2:13" x14ac:dyDescent="0.3">
      <c r="B746" s="11">
        <v>89719385812</v>
      </c>
      <c r="C746" t="s">
        <v>19</v>
      </c>
      <c r="D746" t="s">
        <v>6</v>
      </c>
      <c r="E746" t="s">
        <v>8</v>
      </c>
      <c r="F746" t="s">
        <v>12</v>
      </c>
      <c r="G746" t="s">
        <v>426</v>
      </c>
      <c r="H746" s="1">
        <v>24801</v>
      </c>
      <c r="I746" s="1" t="s">
        <v>435</v>
      </c>
      <c r="J746" t="s">
        <v>446</v>
      </c>
      <c r="K746" s="12">
        <v>9.9</v>
      </c>
      <c r="L746" s="14">
        <f ca="1">TRUNC((TODAY()-TabelaBase[[#This Row],[Data Nascimento]])/365)</f>
        <v>58</v>
      </c>
      <c r="M746" s="14" t="str">
        <f ca="1">HLOOKUP(TabelaBase[[#This Row],[Idade]],$O$3:$R$4,2,TRUE)</f>
        <v>54-70</v>
      </c>
    </row>
    <row r="747" spans="2:13" x14ac:dyDescent="0.3">
      <c r="B747" s="11">
        <v>89961852342</v>
      </c>
      <c r="C747" t="s">
        <v>141</v>
      </c>
      <c r="D747" t="s">
        <v>6</v>
      </c>
      <c r="E747" t="s">
        <v>417</v>
      </c>
      <c r="F747" t="s">
        <v>427</v>
      </c>
      <c r="G747" t="s">
        <v>425</v>
      </c>
      <c r="H747" s="1">
        <v>29447</v>
      </c>
      <c r="I747" s="1" t="s">
        <v>436</v>
      </c>
      <c r="J747" t="s">
        <v>446</v>
      </c>
      <c r="K747" s="12">
        <v>9.9</v>
      </c>
      <c r="L747" s="14">
        <f ca="1">TRUNC((TODAY()-TabelaBase[[#This Row],[Data Nascimento]])/365)</f>
        <v>45</v>
      </c>
      <c r="M747" s="14" t="str">
        <f ca="1">HLOOKUP(TabelaBase[[#This Row],[Idade]],$O$3:$R$4,2,TRUE)</f>
        <v>44 - 54</v>
      </c>
    </row>
    <row r="748" spans="2:13" x14ac:dyDescent="0.3">
      <c r="B748" s="11">
        <v>90135135538</v>
      </c>
      <c r="C748" t="s">
        <v>408</v>
      </c>
      <c r="D748" t="s">
        <v>5</v>
      </c>
      <c r="E748" t="s">
        <v>416</v>
      </c>
      <c r="F748" t="s">
        <v>13</v>
      </c>
      <c r="G748" t="s">
        <v>425</v>
      </c>
      <c r="H748" s="1">
        <v>23296</v>
      </c>
      <c r="I748" s="1" t="s">
        <v>430</v>
      </c>
      <c r="J748" t="s">
        <v>445</v>
      </c>
      <c r="K748" s="12">
        <v>35.9</v>
      </c>
      <c r="L748" s="14">
        <f ca="1">TRUNC((TODAY()-TabelaBase[[#This Row],[Data Nascimento]])/365)</f>
        <v>62</v>
      </c>
      <c r="M748" s="14" t="str">
        <f ca="1">HLOOKUP(TabelaBase[[#This Row],[Idade]],$O$3:$R$4,2,TRUE)</f>
        <v>54-70</v>
      </c>
    </row>
    <row r="749" spans="2:13" x14ac:dyDescent="0.3">
      <c r="B749" s="11">
        <v>90226137721</v>
      </c>
      <c r="C749" t="s">
        <v>218</v>
      </c>
      <c r="D749" t="s">
        <v>6</v>
      </c>
      <c r="E749" t="s">
        <v>417</v>
      </c>
      <c r="F749" t="s">
        <v>13</v>
      </c>
      <c r="G749" t="s">
        <v>426</v>
      </c>
      <c r="H749" s="1">
        <v>27142</v>
      </c>
      <c r="I749" s="1" t="s">
        <v>435</v>
      </c>
      <c r="J749" t="s">
        <v>447</v>
      </c>
      <c r="K749" s="12">
        <v>79.900000000000006</v>
      </c>
      <c r="L749" s="14">
        <f ca="1">TRUNC((TODAY()-TabelaBase[[#This Row],[Data Nascimento]])/365)</f>
        <v>51</v>
      </c>
      <c r="M749" s="14" t="str">
        <f ca="1">HLOOKUP(TabelaBase[[#This Row],[Idade]],$O$3:$R$4,2,TRUE)</f>
        <v>44 - 54</v>
      </c>
    </row>
    <row r="750" spans="2:13" x14ac:dyDescent="0.3">
      <c r="B750" s="11">
        <v>90433255608</v>
      </c>
      <c r="C750" t="s">
        <v>215</v>
      </c>
      <c r="D750" t="s">
        <v>6</v>
      </c>
      <c r="E750" t="s">
        <v>417</v>
      </c>
      <c r="F750" t="s">
        <v>427</v>
      </c>
      <c r="G750" t="s">
        <v>425</v>
      </c>
      <c r="H750" s="1">
        <v>26672</v>
      </c>
      <c r="I750" s="1" t="s">
        <v>436</v>
      </c>
      <c r="J750" t="s">
        <v>444</v>
      </c>
      <c r="K750" s="12">
        <v>29.9</v>
      </c>
      <c r="L750" s="14">
        <f ca="1">TRUNC((TODAY()-TabelaBase[[#This Row],[Data Nascimento]])/365)</f>
        <v>53</v>
      </c>
      <c r="M750" s="14" t="str">
        <f ca="1">HLOOKUP(TabelaBase[[#This Row],[Idade]],$O$3:$R$4,2,TRUE)</f>
        <v>44 - 54</v>
      </c>
    </row>
    <row r="751" spans="2:13" x14ac:dyDescent="0.3">
      <c r="B751" s="11">
        <v>90471108936</v>
      </c>
      <c r="C751" t="s">
        <v>169</v>
      </c>
      <c r="D751" t="s">
        <v>6</v>
      </c>
      <c r="E751" t="s">
        <v>8</v>
      </c>
      <c r="F751" t="s">
        <v>12</v>
      </c>
      <c r="G751" t="s">
        <v>424</v>
      </c>
      <c r="H751" s="1">
        <v>30379</v>
      </c>
      <c r="I751" s="1" t="s">
        <v>433</v>
      </c>
      <c r="J751" t="s">
        <v>445</v>
      </c>
      <c r="K751" s="12">
        <v>35.9</v>
      </c>
      <c r="L751" s="14">
        <f ca="1">TRUNC((TODAY()-TabelaBase[[#This Row],[Data Nascimento]])/365)</f>
        <v>42</v>
      </c>
      <c r="M751" s="14" t="str">
        <f ca="1">HLOOKUP(TabelaBase[[#This Row],[Idade]],$O$3:$R$4,2,TRUE)</f>
        <v>35 - 44</v>
      </c>
    </row>
    <row r="752" spans="2:13" x14ac:dyDescent="0.3">
      <c r="B752" s="11">
        <v>90676250589</v>
      </c>
      <c r="C752" t="s">
        <v>209</v>
      </c>
      <c r="D752" t="s">
        <v>6</v>
      </c>
      <c r="E752" t="s">
        <v>8</v>
      </c>
      <c r="F752" t="s">
        <v>427</v>
      </c>
      <c r="G752" t="s">
        <v>424</v>
      </c>
      <c r="H752" s="1">
        <v>23395</v>
      </c>
      <c r="I752" s="1" t="s">
        <v>433</v>
      </c>
      <c r="J752" t="s">
        <v>445</v>
      </c>
      <c r="K752" s="12">
        <v>35.9</v>
      </c>
      <c r="L752" s="14">
        <f ca="1">TRUNC((TODAY()-TabelaBase[[#This Row],[Data Nascimento]])/365)</f>
        <v>62</v>
      </c>
      <c r="M752" s="14" t="str">
        <f ca="1">HLOOKUP(TabelaBase[[#This Row],[Idade]],$O$3:$R$4,2,TRUE)</f>
        <v>54-70</v>
      </c>
    </row>
    <row r="753" spans="2:13" x14ac:dyDescent="0.3">
      <c r="B753" s="11">
        <v>91279323809</v>
      </c>
      <c r="C753" t="s">
        <v>57</v>
      </c>
      <c r="D753" t="s">
        <v>6</v>
      </c>
      <c r="E753" t="s">
        <v>7</v>
      </c>
      <c r="F753" t="s">
        <v>427</v>
      </c>
      <c r="G753" t="s">
        <v>425</v>
      </c>
      <c r="H753" s="1">
        <v>27443</v>
      </c>
      <c r="I753" s="1" t="s">
        <v>433</v>
      </c>
      <c r="J753" t="s">
        <v>446</v>
      </c>
      <c r="K753" s="12">
        <v>9.9</v>
      </c>
      <c r="L753" s="14">
        <f ca="1">TRUNC((TODAY()-TabelaBase[[#This Row],[Data Nascimento]])/365)</f>
        <v>50</v>
      </c>
      <c r="M753" s="14" t="str">
        <f ca="1">HLOOKUP(TabelaBase[[#This Row],[Idade]],$O$3:$R$4,2,TRUE)</f>
        <v>44 - 54</v>
      </c>
    </row>
    <row r="754" spans="2:13" x14ac:dyDescent="0.3">
      <c r="B754" s="11">
        <v>91362501845</v>
      </c>
      <c r="C754" t="s">
        <v>54</v>
      </c>
      <c r="D754" t="s">
        <v>5</v>
      </c>
      <c r="E754" t="s">
        <v>417</v>
      </c>
      <c r="F754" t="s">
        <v>11</v>
      </c>
      <c r="G754" t="s">
        <v>425</v>
      </c>
      <c r="H754" s="1">
        <v>28394</v>
      </c>
      <c r="I754" s="1" t="s">
        <v>433</v>
      </c>
      <c r="J754" t="s">
        <v>447</v>
      </c>
      <c r="K754" s="12">
        <v>79.900000000000006</v>
      </c>
      <c r="L754" s="14">
        <f ca="1">TRUNC((TODAY()-TabelaBase[[#This Row],[Data Nascimento]])/365)</f>
        <v>48</v>
      </c>
      <c r="M754" s="14" t="str">
        <f ca="1">HLOOKUP(TabelaBase[[#This Row],[Idade]],$O$3:$R$4,2,TRUE)</f>
        <v>44 - 54</v>
      </c>
    </row>
    <row r="755" spans="2:13" x14ac:dyDescent="0.3">
      <c r="B755" s="11">
        <v>91518429185</v>
      </c>
      <c r="C755" t="s">
        <v>152</v>
      </c>
      <c r="D755" t="s">
        <v>6</v>
      </c>
      <c r="E755" t="s">
        <v>8</v>
      </c>
      <c r="F755" t="s">
        <v>13</v>
      </c>
      <c r="G755" t="s">
        <v>425</v>
      </c>
      <c r="H755" s="1">
        <v>31840</v>
      </c>
      <c r="I755" s="1" t="s">
        <v>433</v>
      </c>
      <c r="J755" t="s">
        <v>444</v>
      </c>
      <c r="K755" s="12">
        <v>29.9</v>
      </c>
      <c r="L755" s="14">
        <f ca="1">TRUNC((TODAY()-TabelaBase[[#This Row],[Data Nascimento]])/365)</f>
        <v>38</v>
      </c>
      <c r="M755" s="14" t="str">
        <f ca="1">HLOOKUP(TabelaBase[[#This Row],[Idade]],$O$3:$R$4,2,TRUE)</f>
        <v>35 - 44</v>
      </c>
    </row>
    <row r="756" spans="2:13" x14ac:dyDescent="0.3">
      <c r="B756" s="11">
        <v>92217554531</v>
      </c>
      <c r="C756" t="s">
        <v>230</v>
      </c>
      <c r="D756" t="s">
        <v>6</v>
      </c>
      <c r="E756" t="s">
        <v>7</v>
      </c>
      <c r="F756" t="s">
        <v>13</v>
      </c>
      <c r="G756" t="s">
        <v>426</v>
      </c>
      <c r="H756" s="1">
        <v>29548</v>
      </c>
      <c r="I756" s="1" t="s">
        <v>433</v>
      </c>
      <c r="J756" t="s">
        <v>446</v>
      </c>
      <c r="K756" s="12">
        <v>9.9</v>
      </c>
      <c r="L756" s="14">
        <f ca="1">TRUNC((TODAY()-TabelaBase[[#This Row],[Data Nascimento]])/365)</f>
        <v>45</v>
      </c>
      <c r="M756" s="14" t="str">
        <f ca="1">HLOOKUP(TabelaBase[[#This Row],[Idade]],$O$3:$R$4,2,TRUE)</f>
        <v>44 - 54</v>
      </c>
    </row>
    <row r="757" spans="2:13" x14ac:dyDescent="0.3">
      <c r="B757" s="11">
        <v>92420051701</v>
      </c>
      <c r="C757" t="s">
        <v>182</v>
      </c>
      <c r="D757" t="s">
        <v>5</v>
      </c>
      <c r="E757" t="s">
        <v>8</v>
      </c>
      <c r="F757" t="s">
        <v>13</v>
      </c>
      <c r="G757" t="s">
        <v>424</v>
      </c>
      <c r="H757" s="1">
        <v>35594</v>
      </c>
      <c r="I757" s="1" t="s">
        <v>433</v>
      </c>
      <c r="J757" t="s">
        <v>446</v>
      </c>
      <c r="K757" s="12">
        <v>9.9</v>
      </c>
      <c r="L757" s="14">
        <f ca="1">TRUNC((TODAY()-TabelaBase[[#This Row],[Data Nascimento]])/365)</f>
        <v>28</v>
      </c>
      <c r="M757" s="14" t="str">
        <f ca="1">HLOOKUP(TabelaBase[[#This Row],[Idade]],$O$3:$R$4,2,TRUE)</f>
        <v>24-34</v>
      </c>
    </row>
    <row r="758" spans="2:13" x14ac:dyDescent="0.3">
      <c r="B758" s="11">
        <v>92500013367</v>
      </c>
      <c r="C758" t="s">
        <v>131</v>
      </c>
      <c r="D758" t="s">
        <v>6</v>
      </c>
      <c r="E758" t="s">
        <v>416</v>
      </c>
      <c r="F758" t="s">
        <v>13</v>
      </c>
      <c r="G758" t="s">
        <v>424</v>
      </c>
      <c r="H758" s="1">
        <v>22721</v>
      </c>
      <c r="I758" s="1" t="s">
        <v>433</v>
      </c>
      <c r="J758" t="s">
        <v>444</v>
      </c>
      <c r="K758" s="12">
        <v>29.9</v>
      </c>
      <c r="L758" s="14">
        <f ca="1">TRUNC((TODAY()-TabelaBase[[#This Row],[Data Nascimento]])/365)</f>
        <v>63</v>
      </c>
      <c r="M758" s="14" t="str">
        <f ca="1">HLOOKUP(TabelaBase[[#This Row],[Idade]],$O$3:$R$4,2,TRUE)</f>
        <v>54-70</v>
      </c>
    </row>
    <row r="759" spans="2:13" x14ac:dyDescent="0.3">
      <c r="B759" s="11">
        <v>92768661715</v>
      </c>
      <c r="C759" t="s">
        <v>271</v>
      </c>
      <c r="D759" t="s">
        <v>5</v>
      </c>
      <c r="E759" t="s">
        <v>417</v>
      </c>
      <c r="F759" t="s">
        <v>12</v>
      </c>
      <c r="G759" t="s">
        <v>424</v>
      </c>
      <c r="H759" s="1">
        <v>31078</v>
      </c>
      <c r="I759" s="1" t="s">
        <v>433</v>
      </c>
      <c r="J759" t="s">
        <v>447</v>
      </c>
      <c r="K759" s="12">
        <v>79.900000000000006</v>
      </c>
      <c r="L759" s="14">
        <f ca="1">TRUNC((TODAY()-TabelaBase[[#This Row],[Data Nascimento]])/365)</f>
        <v>40</v>
      </c>
      <c r="M759" s="14" t="str">
        <f ca="1">HLOOKUP(TabelaBase[[#This Row],[Idade]],$O$3:$R$4,2,TRUE)</f>
        <v>35 - 44</v>
      </c>
    </row>
    <row r="760" spans="2:13" x14ac:dyDescent="0.3">
      <c r="B760" s="11">
        <v>92851862378</v>
      </c>
      <c r="C760" t="s">
        <v>72</v>
      </c>
      <c r="D760" t="s">
        <v>5</v>
      </c>
      <c r="E760" t="s">
        <v>8</v>
      </c>
      <c r="F760" t="s">
        <v>13</v>
      </c>
      <c r="G760" t="s">
        <v>425</v>
      </c>
      <c r="H760" s="1">
        <v>30872</v>
      </c>
      <c r="I760" s="1" t="s">
        <v>429</v>
      </c>
      <c r="J760" t="s">
        <v>445</v>
      </c>
      <c r="K760" s="12">
        <v>35.9</v>
      </c>
      <c r="L760" s="14">
        <f ca="1">TRUNC((TODAY()-TabelaBase[[#This Row],[Data Nascimento]])/365)</f>
        <v>41</v>
      </c>
      <c r="M760" s="14" t="str">
        <f ca="1">HLOOKUP(TabelaBase[[#This Row],[Idade]],$O$3:$R$4,2,TRUE)</f>
        <v>35 - 44</v>
      </c>
    </row>
    <row r="761" spans="2:13" x14ac:dyDescent="0.3">
      <c r="B761" s="11">
        <v>92908961862</v>
      </c>
      <c r="C761" t="s">
        <v>28</v>
      </c>
      <c r="D761" t="s">
        <v>5</v>
      </c>
      <c r="E761" t="s">
        <v>416</v>
      </c>
      <c r="F761" t="s">
        <v>14</v>
      </c>
      <c r="G761" t="s">
        <v>425</v>
      </c>
      <c r="H761" s="1">
        <v>26841</v>
      </c>
      <c r="I761" s="1" t="s">
        <v>432</v>
      </c>
      <c r="J761" t="s">
        <v>444</v>
      </c>
      <c r="K761" s="12">
        <v>29.9</v>
      </c>
      <c r="L761" s="14">
        <f ca="1">TRUNC((TODAY()-TabelaBase[[#This Row],[Data Nascimento]])/365)</f>
        <v>52</v>
      </c>
      <c r="M761" s="14" t="str">
        <f ca="1">HLOOKUP(TabelaBase[[#This Row],[Idade]],$O$3:$R$4,2,TRUE)</f>
        <v>44 - 54</v>
      </c>
    </row>
    <row r="762" spans="2:13" x14ac:dyDescent="0.3">
      <c r="B762" s="11">
        <v>92967114176</v>
      </c>
      <c r="C762" t="s">
        <v>208</v>
      </c>
      <c r="D762" t="s">
        <v>6</v>
      </c>
      <c r="E762" t="s">
        <v>416</v>
      </c>
      <c r="F762" t="s">
        <v>14</v>
      </c>
      <c r="G762" t="s">
        <v>425</v>
      </c>
      <c r="H762" s="1">
        <v>34170</v>
      </c>
      <c r="I762" s="1" t="s">
        <v>436</v>
      </c>
      <c r="J762" t="s">
        <v>444</v>
      </c>
      <c r="K762" s="12">
        <v>29.9</v>
      </c>
      <c r="L762" s="14">
        <f ca="1">TRUNC((TODAY()-TabelaBase[[#This Row],[Data Nascimento]])/365)</f>
        <v>32</v>
      </c>
      <c r="M762" s="14" t="str">
        <f ca="1">HLOOKUP(TabelaBase[[#This Row],[Idade]],$O$3:$R$4,2,TRUE)</f>
        <v>24-34</v>
      </c>
    </row>
    <row r="763" spans="2:13" x14ac:dyDescent="0.3">
      <c r="B763" s="11">
        <v>93080185386</v>
      </c>
      <c r="C763" t="s">
        <v>82</v>
      </c>
      <c r="D763" t="s">
        <v>5</v>
      </c>
      <c r="E763" t="s">
        <v>8</v>
      </c>
      <c r="F763" t="s">
        <v>14</v>
      </c>
      <c r="G763" t="s">
        <v>424</v>
      </c>
      <c r="H763" s="1">
        <v>24809</v>
      </c>
      <c r="I763" s="1" t="s">
        <v>436</v>
      </c>
      <c r="J763" t="s">
        <v>444</v>
      </c>
      <c r="K763" s="12">
        <v>29.9</v>
      </c>
      <c r="L763" s="14">
        <f ca="1">TRUNC((TODAY()-TabelaBase[[#This Row],[Data Nascimento]])/365)</f>
        <v>58</v>
      </c>
      <c r="M763" s="14" t="str">
        <f ca="1">HLOOKUP(TabelaBase[[#This Row],[Idade]],$O$3:$R$4,2,TRUE)</f>
        <v>54-70</v>
      </c>
    </row>
    <row r="764" spans="2:13" x14ac:dyDescent="0.3">
      <c r="B764" s="11">
        <v>93087822464</v>
      </c>
      <c r="C764" t="s">
        <v>64</v>
      </c>
      <c r="D764" t="s">
        <v>5</v>
      </c>
      <c r="E764" t="s">
        <v>417</v>
      </c>
      <c r="F764" t="s">
        <v>14</v>
      </c>
      <c r="G764" t="s">
        <v>425</v>
      </c>
      <c r="H764" s="1">
        <v>29740</v>
      </c>
      <c r="I764" s="1" t="s">
        <v>436</v>
      </c>
      <c r="J764" t="s">
        <v>444</v>
      </c>
      <c r="K764" s="12">
        <v>29.9</v>
      </c>
      <c r="L764" s="14">
        <f ca="1">TRUNC((TODAY()-TabelaBase[[#This Row],[Data Nascimento]])/365)</f>
        <v>44</v>
      </c>
      <c r="M764" s="14" t="str">
        <f ca="1">HLOOKUP(TabelaBase[[#This Row],[Idade]],$O$3:$R$4,2,TRUE)</f>
        <v>44 - 54</v>
      </c>
    </row>
    <row r="765" spans="2:13" x14ac:dyDescent="0.3">
      <c r="B765" s="11">
        <v>93174372517</v>
      </c>
      <c r="C765" t="s">
        <v>366</v>
      </c>
      <c r="D765" t="s">
        <v>5</v>
      </c>
      <c r="E765" t="s">
        <v>417</v>
      </c>
      <c r="F765" t="s">
        <v>11</v>
      </c>
      <c r="G765" t="s">
        <v>426</v>
      </c>
      <c r="H765" s="1">
        <v>28633</v>
      </c>
      <c r="I765" s="1" t="s">
        <v>436</v>
      </c>
      <c r="J765" t="s">
        <v>447</v>
      </c>
      <c r="K765" s="12">
        <v>79.900000000000006</v>
      </c>
      <c r="L765" s="14">
        <f ca="1">TRUNC((TODAY()-TabelaBase[[#This Row],[Data Nascimento]])/365)</f>
        <v>47</v>
      </c>
      <c r="M765" s="14" t="str">
        <f ca="1">HLOOKUP(TabelaBase[[#This Row],[Idade]],$O$3:$R$4,2,TRUE)</f>
        <v>44 - 54</v>
      </c>
    </row>
    <row r="766" spans="2:13" x14ac:dyDescent="0.3">
      <c r="B766" s="11">
        <v>93661850588</v>
      </c>
      <c r="C766" t="s">
        <v>203</v>
      </c>
      <c r="D766" t="s">
        <v>5</v>
      </c>
      <c r="E766" t="s">
        <v>7</v>
      </c>
      <c r="F766" t="s">
        <v>13</v>
      </c>
      <c r="G766" t="s">
        <v>424</v>
      </c>
      <c r="H766" s="1">
        <v>30271</v>
      </c>
      <c r="I766" s="1" t="s">
        <v>436</v>
      </c>
      <c r="J766" t="s">
        <v>444</v>
      </c>
      <c r="K766" s="12">
        <v>29.9</v>
      </c>
      <c r="L766" s="14">
        <f ca="1">TRUNC((TODAY()-TabelaBase[[#This Row],[Data Nascimento]])/365)</f>
        <v>43</v>
      </c>
      <c r="M766" s="14" t="str">
        <f ca="1">HLOOKUP(TabelaBase[[#This Row],[Idade]],$O$3:$R$4,2,TRUE)</f>
        <v>35 - 44</v>
      </c>
    </row>
    <row r="767" spans="2:13" x14ac:dyDescent="0.3">
      <c r="B767" s="11">
        <v>94266497658</v>
      </c>
      <c r="C767" t="s">
        <v>361</v>
      </c>
      <c r="D767" t="s">
        <v>6</v>
      </c>
      <c r="E767" t="s">
        <v>417</v>
      </c>
      <c r="F767" t="s">
        <v>12</v>
      </c>
      <c r="G767" t="s">
        <v>425</v>
      </c>
      <c r="H767" s="1">
        <v>33715</v>
      </c>
      <c r="I767" s="1" t="s">
        <v>436</v>
      </c>
      <c r="J767" t="s">
        <v>445</v>
      </c>
      <c r="K767" s="12">
        <v>35.9</v>
      </c>
      <c r="L767" s="14">
        <f ca="1">TRUNC((TODAY()-TabelaBase[[#This Row],[Data Nascimento]])/365)</f>
        <v>33</v>
      </c>
      <c r="M767" s="14" t="str">
        <f ca="1">HLOOKUP(TabelaBase[[#This Row],[Idade]],$O$3:$R$4,2,TRUE)</f>
        <v>24-34</v>
      </c>
    </row>
    <row r="768" spans="2:13" x14ac:dyDescent="0.3">
      <c r="B768" s="11">
        <v>94367151573</v>
      </c>
      <c r="C768" t="s">
        <v>350</v>
      </c>
      <c r="D768" t="s">
        <v>6</v>
      </c>
      <c r="E768" t="s">
        <v>7</v>
      </c>
      <c r="F768" t="s">
        <v>13</v>
      </c>
      <c r="G768" t="s">
        <v>426</v>
      </c>
      <c r="H768" s="1">
        <v>30154</v>
      </c>
      <c r="I768" s="1" t="s">
        <v>435</v>
      </c>
      <c r="J768" t="s">
        <v>446</v>
      </c>
      <c r="K768" s="12">
        <v>9.9</v>
      </c>
      <c r="L768" s="14">
        <f ca="1">TRUNC((TODAY()-TabelaBase[[#This Row],[Data Nascimento]])/365)</f>
        <v>43</v>
      </c>
      <c r="M768" s="14" t="str">
        <f ca="1">HLOOKUP(TabelaBase[[#This Row],[Idade]],$O$3:$R$4,2,TRUE)</f>
        <v>35 - 44</v>
      </c>
    </row>
    <row r="769" spans="2:13" x14ac:dyDescent="0.3">
      <c r="B769" s="11">
        <v>94460718865</v>
      </c>
      <c r="C769" t="s">
        <v>56</v>
      </c>
      <c r="D769" t="s">
        <v>5</v>
      </c>
      <c r="E769" t="s">
        <v>7</v>
      </c>
      <c r="F769" t="s">
        <v>13</v>
      </c>
      <c r="G769" t="s">
        <v>426</v>
      </c>
      <c r="H769" s="1">
        <v>24035</v>
      </c>
      <c r="I769" s="1" t="s">
        <v>433</v>
      </c>
      <c r="J769" t="s">
        <v>444</v>
      </c>
      <c r="K769" s="12">
        <v>29.9</v>
      </c>
      <c r="L769" s="14">
        <f ca="1">TRUNC((TODAY()-TabelaBase[[#This Row],[Data Nascimento]])/365)</f>
        <v>60</v>
      </c>
      <c r="M769" s="14" t="str">
        <f ca="1">HLOOKUP(TabelaBase[[#This Row],[Idade]],$O$3:$R$4,2,TRUE)</f>
        <v>54-70</v>
      </c>
    </row>
    <row r="770" spans="2:13" x14ac:dyDescent="0.3">
      <c r="B770" s="11">
        <v>94559470168</v>
      </c>
      <c r="C770" t="s">
        <v>206</v>
      </c>
      <c r="D770" t="s">
        <v>5</v>
      </c>
      <c r="E770" t="s">
        <v>417</v>
      </c>
      <c r="F770" t="s">
        <v>13</v>
      </c>
      <c r="G770" t="s">
        <v>426</v>
      </c>
      <c r="H770" s="1">
        <v>36149</v>
      </c>
      <c r="I770" s="1" t="s">
        <v>433</v>
      </c>
      <c r="J770" t="s">
        <v>446</v>
      </c>
      <c r="K770" s="12">
        <v>9.9</v>
      </c>
      <c r="L770" s="14">
        <f ca="1">TRUNC((TODAY()-TabelaBase[[#This Row],[Data Nascimento]])/365)</f>
        <v>27</v>
      </c>
      <c r="M770" s="14" t="str">
        <f ca="1">HLOOKUP(TabelaBase[[#This Row],[Idade]],$O$3:$R$4,2,TRUE)</f>
        <v>24-34</v>
      </c>
    </row>
    <row r="771" spans="2:13" x14ac:dyDescent="0.3">
      <c r="B771" s="11">
        <v>94583059920</v>
      </c>
      <c r="C771" t="s">
        <v>329</v>
      </c>
      <c r="D771" t="s">
        <v>5</v>
      </c>
      <c r="E771" t="s">
        <v>8</v>
      </c>
      <c r="F771" t="s">
        <v>427</v>
      </c>
      <c r="G771" t="s">
        <v>424</v>
      </c>
      <c r="H771" s="1">
        <v>28578</v>
      </c>
      <c r="I771" s="1" t="s">
        <v>433</v>
      </c>
      <c r="J771" t="s">
        <v>445</v>
      </c>
      <c r="K771" s="12">
        <v>35.9</v>
      </c>
      <c r="L771" s="14">
        <f ca="1">TRUNC((TODAY()-TabelaBase[[#This Row],[Data Nascimento]])/365)</f>
        <v>47</v>
      </c>
      <c r="M771" s="14" t="str">
        <f ca="1">HLOOKUP(TabelaBase[[#This Row],[Idade]],$O$3:$R$4,2,TRUE)</f>
        <v>44 - 54</v>
      </c>
    </row>
    <row r="772" spans="2:13" x14ac:dyDescent="0.3">
      <c r="B772" s="11">
        <v>94654130097</v>
      </c>
      <c r="C772" t="s">
        <v>179</v>
      </c>
      <c r="D772" t="s">
        <v>5</v>
      </c>
      <c r="E772" t="s">
        <v>8</v>
      </c>
      <c r="F772" t="s">
        <v>13</v>
      </c>
      <c r="G772" t="s">
        <v>426</v>
      </c>
      <c r="H772" s="1">
        <v>34894</v>
      </c>
      <c r="I772" s="1" t="s">
        <v>433</v>
      </c>
      <c r="J772" t="s">
        <v>444</v>
      </c>
      <c r="K772" s="12">
        <v>29.9</v>
      </c>
      <c r="L772" s="14">
        <f ca="1">TRUNC((TODAY()-TabelaBase[[#This Row],[Data Nascimento]])/365)</f>
        <v>30</v>
      </c>
      <c r="M772" s="14" t="str">
        <f ca="1">HLOOKUP(TabelaBase[[#This Row],[Idade]],$O$3:$R$4,2,TRUE)</f>
        <v>24-34</v>
      </c>
    </row>
    <row r="773" spans="2:13" x14ac:dyDescent="0.3">
      <c r="B773" s="11">
        <v>95202710429</v>
      </c>
      <c r="C773" t="s">
        <v>226</v>
      </c>
      <c r="D773" t="s">
        <v>5</v>
      </c>
      <c r="E773" t="s">
        <v>417</v>
      </c>
      <c r="F773" t="s">
        <v>14</v>
      </c>
      <c r="G773" t="s">
        <v>426</v>
      </c>
      <c r="H773" s="1">
        <v>24300</v>
      </c>
      <c r="I773" s="1" t="s">
        <v>433</v>
      </c>
      <c r="J773" t="s">
        <v>444</v>
      </c>
      <c r="K773" s="12">
        <v>29.9</v>
      </c>
      <c r="L773" s="14">
        <f ca="1">TRUNC((TODAY()-TabelaBase[[#This Row],[Data Nascimento]])/365)</f>
        <v>59</v>
      </c>
      <c r="M773" s="14" t="str">
        <f ca="1">HLOOKUP(TabelaBase[[#This Row],[Idade]],$O$3:$R$4,2,TRUE)</f>
        <v>54-70</v>
      </c>
    </row>
    <row r="774" spans="2:13" x14ac:dyDescent="0.3">
      <c r="B774" s="11">
        <v>95305432346</v>
      </c>
      <c r="C774" t="s">
        <v>395</v>
      </c>
      <c r="D774" t="s">
        <v>5</v>
      </c>
      <c r="E774" t="s">
        <v>417</v>
      </c>
      <c r="F774" t="s">
        <v>13</v>
      </c>
      <c r="G774" t="s">
        <v>425</v>
      </c>
      <c r="H774" s="1">
        <v>27046</v>
      </c>
      <c r="I774" s="1" t="s">
        <v>430</v>
      </c>
      <c r="J774" t="s">
        <v>444</v>
      </c>
      <c r="K774" s="12">
        <v>29.9</v>
      </c>
      <c r="L774" s="14">
        <f ca="1">TRUNC((TODAY()-TabelaBase[[#This Row],[Data Nascimento]])/365)</f>
        <v>52</v>
      </c>
      <c r="M774" s="14" t="str">
        <f ca="1">HLOOKUP(TabelaBase[[#This Row],[Idade]],$O$3:$R$4,2,TRUE)</f>
        <v>44 - 54</v>
      </c>
    </row>
    <row r="775" spans="2:13" x14ac:dyDescent="0.3">
      <c r="B775" s="11">
        <v>95580971716</v>
      </c>
      <c r="C775" t="s">
        <v>214</v>
      </c>
      <c r="D775" t="s">
        <v>6</v>
      </c>
      <c r="E775" t="s">
        <v>417</v>
      </c>
      <c r="F775" t="s">
        <v>427</v>
      </c>
      <c r="G775" t="s">
        <v>425</v>
      </c>
      <c r="H775" s="1">
        <v>32835</v>
      </c>
      <c r="I775" s="1" t="s">
        <v>429</v>
      </c>
      <c r="J775" t="s">
        <v>444</v>
      </c>
      <c r="K775" s="12">
        <v>29.9</v>
      </c>
      <c r="L775" s="14">
        <f ca="1">TRUNC((TODAY()-TabelaBase[[#This Row],[Data Nascimento]])/365)</f>
        <v>36</v>
      </c>
      <c r="M775" s="14" t="str">
        <f ca="1">HLOOKUP(TabelaBase[[#This Row],[Idade]],$O$3:$R$4,2,TRUE)</f>
        <v>35 - 44</v>
      </c>
    </row>
    <row r="776" spans="2:13" x14ac:dyDescent="0.3">
      <c r="B776" s="11">
        <v>95596945437</v>
      </c>
      <c r="C776" t="s">
        <v>387</v>
      </c>
      <c r="D776" t="s">
        <v>6</v>
      </c>
      <c r="E776" t="s">
        <v>7</v>
      </c>
      <c r="F776" t="s">
        <v>9</v>
      </c>
      <c r="G776" t="s">
        <v>425</v>
      </c>
      <c r="H776" s="1">
        <v>35092</v>
      </c>
      <c r="I776" s="1" t="s">
        <v>431</v>
      </c>
      <c r="J776" t="s">
        <v>446</v>
      </c>
      <c r="K776" s="12">
        <v>9.9</v>
      </c>
      <c r="L776" s="14">
        <f ca="1">TRUNC((TODAY()-TabelaBase[[#This Row],[Data Nascimento]])/365)</f>
        <v>29</v>
      </c>
      <c r="M776" s="14" t="str">
        <f ca="1">HLOOKUP(TabelaBase[[#This Row],[Idade]],$O$3:$R$4,2,TRUE)</f>
        <v>24-34</v>
      </c>
    </row>
    <row r="777" spans="2:13" x14ac:dyDescent="0.3">
      <c r="B777" s="11">
        <v>95707970101</v>
      </c>
      <c r="C777" t="s">
        <v>79</v>
      </c>
      <c r="D777" t="s">
        <v>6</v>
      </c>
      <c r="E777" t="s">
        <v>8</v>
      </c>
      <c r="F777" t="s">
        <v>12</v>
      </c>
      <c r="G777" t="s">
        <v>425</v>
      </c>
      <c r="H777" s="1">
        <v>23655</v>
      </c>
      <c r="I777" s="1" t="s">
        <v>432</v>
      </c>
      <c r="J777" t="s">
        <v>447</v>
      </c>
      <c r="K777" s="12">
        <v>79.900000000000006</v>
      </c>
      <c r="L777" s="14">
        <f ca="1">TRUNC((TODAY()-TabelaBase[[#This Row],[Data Nascimento]])/365)</f>
        <v>61</v>
      </c>
      <c r="M777" s="14" t="str">
        <f ca="1">HLOOKUP(TabelaBase[[#This Row],[Idade]],$O$3:$R$4,2,TRUE)</f>
        <v>54-70</v>
      </c>
    </row>
    <row r="778" spans="2:13" x14ac:dyDescent="0.3">
      <c r="B778" s="11">
        <v>95717759227</v>
      </c>
      <c r="C778" t="s">
        <v>146</v>
      </c>
      <c r="D778" t="s">
        <v>6</v>
      </c>
      <c r="E778" t="s">
        <v>417</v>
      </c>
      <c r="F778" t="s">
        <v>13</v>
      </c>
      <c r="G778" t="s">
        <v>426</v>
      </c>
      <c r="H778" s="1">
        <v>31254</v>
      </c>
      <c r="I778" s="1" t="s">
        <v>434</v>
      </c>
      <c r="J778" t="s">
        <v>447</v>
      </c>
      <c r="K778" s="12">
        <v>79.900000000000006</v>
      </c>
      <c r="L778" s="14">
        <f ca="1">TRUNC((TODAY()-TabelaBase[[#This Row],[Data Nascimento]])/365)</f>
        <v>40</v>
      </c>
      <c r="M778" s="14" t="str">
        <f ca="1">HLOOKUP(TabelaBase[[#This Row],[Idade]],$O$3:$R$4,2,TRUE)</f>
        <v>35 - 44</v>
      </c>
    </row>
    <row r="779" spans="2:13" x14ac:dyDescent="0.3">
      <c r="B779" s="11">
        <v>95777582172</v>
      </c>
      <c r="C779" t="s">
        <v>370</v>
      </c>
      <c r="D779" t="s">
        <v>5</v>
      </c>
      <c r="E779" t="s">
        <v>7</v>
      </c>
      <c r="F779" t="s">
        <v>14</v>
      </c>
      <c r="G779" t="s">
        <v>426</v>
      </c>
      <c r="H779" s="1">
        <v>32769</v>
      </c>
      <c r="I779" s="1" t="s">
        <v>430</v>
      </c>
      <c r="J779" t="s">
        <v>444</v>
      </c>
      <c r="K779" s="12">
        <v>29.9</v>
      </c>
      <c r="L779" s="14">
        <f ca="1">TRUNC((TODAY()-TabelaBase[[#This Row],[Data Nascimento]])/365)</f>
        <v>36</v>
      </c>
      <c r="M779" s="14" t="str">
        <f ca="1">HLOOKUP(TabelaBase[[#This Row],[Idade]],$O$3:$R$4,2,TRUE)</f>
        <v>35 - 44</v>
      </c>
    </row>
    <row r="780" spans="2:13" x14ac:dyDescent="0.3">
      <c r="B780" s="11">
        <v>96142770610</v>
      </c>
      <c r="C780" t="s">
        <v>301</v>
      </c>
      <c r="D780" t="s">
        <v>5</v>
      </c>
      <c r="E780" t="s">
        <v>417</v>
      </c>
      <c r="F780" t="s">
        <v>427</v>
      </c>
      <c r="G780" t="s">
        <v>425</v>
      </c>
      <c r="H780" s="1">
        <v>24217</v>
      </c>
      <c r="I780" s="1" t="s">
        <v>435</v>
      </c>
      <c r="J780" t="s">
        <v>445</v>
      </c>
      <c r="K780" s="12">
        <v>35.9</v>
      </c>
      <c r="L780" s="14">
        <f ca="1">TRUNC((TODAY()-TabelaBase[[#This Row],[Data Nascimento]])/365)</f>
        <v>59</v>
      </c>
      <c r="M780" s="14" t="str">
        <f ca="1">HLOOKUP(TabelaBase[[#This Row],[Idade]],$O$3:$R$4,2,TRUE)</f>
        <v>54-70</v>
      </c>
    </row>
    <row r="781" spans="2:13" x14ac:dyDescent="0.3">
      <c r="B781" s="11">
        <v>96189222892</v>
      </c>
      <c r="C781" t="s">
        <v>103</v>
      </c>
      <c r="D781" t="s">
        <v>6</v>
      </c>
      <c r="E781" t="s">
        <v>7</v>
      </c>
      <c r="F781" t="s">
        <v>12</v>
      </c>
      <c r="G781" t="s">
        <v>424</v>
      </c>
      <c r="H781" s="1">
        <v>27862</v>
      </c>
      <c r="I781" s="1" t="s">
        <v>436</v>
      </c>
      <c r="J781" t="s">
        <v>447</v>
      </c>
      <c r="K781" s="12">
        <v>79.900000000000006</v>
      </c>
      <c r="L781" s="14">
        <f ca="1">TRUNC((TODAY()-TabelaBase[[#This Row],[Data Nascimento]])/365)</f>
        <v>49</v>
      </c>
      <c r="M781" s="14" t="str">
        <f ca="1">HLOOKUP(TabelaBase[[#This Row],[Idade]],$O$3:$R$4,2,TRUE)</f>
        <v>44 - 54</v>
      </c>
    </row>
    <row r="782" spans="2:13" x14ac:dyDescent="0.3">
      <c r="B782" s="11">
        <v>96207993803</v>
      </c>
      <c r="C782" t="s">
        <v>221</v>
      </c>
      <c r="D782" t="s">
        <v>5</v>
      </c>
      <c r="E782" t="s">
        <v>417</v>
      </c>
      <c r="F782" t="s">
        <v>427</v>
      </c>
      <c r="G782" t="s">
        <v>425</v>
      </c>
      <c r="H782" s="1">
        <v>31971</v>
      </c>
      <c r="I782" s="1" t="s">
        <v>430</v>
      </c>
      <c r="J782" t="s">
        <v>445</v>
      </c>
      <c r="K782" s="12">
        <v>35.9</v>
      </c>
      <c r="L782" s="14">
        <f ca="1">TRUNC((TODAY()-TabelaBase[[#This Row],[Data Nascimento]])/365)</f>
        <v>38</v>
      </c>
      <c r="M782" s="14" t="str">
        <f ca="1">HLOOKUP(TabelaBase[[#This Row],[Idade]],$O$3:$R$4,2,TRUE)</f>
        <v>35 - 44</v>
      </c>
    </row>
    <row r="783" spans="2:13" x14ac:dyDescent="0.3">
      <c r="B783" s="11">
        <v>96469060945</v>
      </c>
      <c r="C783" t="s">
        <v>109</v>
      </c>
      <c r="D783" t="s">
        <v>5</v>
      </c>
      <c r="E783" t="s">
        <v>8</v>
      </c>
      <c r="F783" t="s">
        <v>427</v>
      </c>
      <c r="G783" t="s">
        <v>426</v>
      </c>
      <c r="H783" s="1">
        <v>25830</v>
      </c>
      <c r="I783" s="1" t="s">
        <v>435</v>
      </c>
      <c r="J783" t="s">
        <v>445</v>
      </c>
      <c r="K783" s="12">
        <v>35.9</v>
      </c>
      <c r="L783" s="14">
        <f ca="1">TRUNC((TODAY()-TabelaBase[[#This Row],[Data Nascimento]])/365)</f>
        <v>55</v>
      </c>
      <c r="M783" s="14" t="str">
        <f ca="1">HLOOKUP(TabelaBase[[#This Row],[Idade]],$O$3:$R$4,2,TRUE)</f>
        <v>54-70</v>
      </c>
    </row>
    <row r="784" spans="2:13" x14ac:dyDescent="0.3">
      <c r="B784" s="11">
        <v>96498559182</v>
      </c>
      <c r="C784" t="s">
        <v>38</v>
      </c>
      <c r="D784" t="s">
        <v>5</v>
      </c>
      <c r="E784" t="s">
        <v>417</v>
      </c>
      <c r="F784" t="s">
        <v>13</v>
      </c>
      <c r="G784" t="s">
        <v>426</v>
      </c>
      <c r="H784" s="1">
        <v>31923</v>
      </c>
      <c r="I784" s="1" t="s">
        <v>436</v>
      </c>
      <c r="J784" t="s">
        <v>446</v>
      </c>
      <c r="K784" s="12">
        <v>9.9</v>
      </c>
      <c r="L784" s="14">
        <f ca="1">TRUNC((TODAY()-TabelaBase[[#This Row],[Data Nascimento]])/365)</f>
        <v>38</v>
      </c>
      <c r="M784" s="14" t="str">
        <f ca="1">HLOOKUP(TabelaBase[[#This Row],[Idade]],$O$3:$R$4,2,TRUE)</f>
        <v>35 - 44</v>
      </c>
    </row>
    <row r="785" spans="2:13" x14ac:dyDescent="0.3">
      <c r="B785" s="11">
        <v>96683513690</v>
      </c>
      <c r="C785" t="s">
        <v>23</v>
      </c>
      <c r="D785" t="s">
        <v>6</v>
      </c>
      <c r="E785" t="s">
        <v>7</v>
      </c>
      <c r="F785" t="s">
        <v>427</v>
      </c>
      <c r="G785" t="s">
        <v>424</v>
      </c>
      <c r="H785" s="1">
        <v>34631</v>
      </c>
      <c r="I785" s="1" t="s">
        <v>433</v>
      </c>
      <c r="J785" t="s">
        <v>444</v>
      </c>
      <c r="K785" s="12">
        <v>29.9</v>
      </c>
      <c r="L785" s="14">
        <f ca="1">TRUNC((TODAY()-TabelaBase[[#This Row],[Data Nascimento]])/365)</f>
        <v>31</v>
      </c>
      <c r="M785" s="14" t="str">
        <f ca="1">HLOOKUP(TabelaBase[[#This Row],[Idade]],$O$3:$R$4,2,TRUE)</f>
        <v>24-34</v>
      </c>
    </row>
    <row r="786" spans="2:13" x14ac:dyDescent="0.3">
      <c r="B786" s="11">
        <v>96690867763</v>
      </c>
      <c r="C786" t="s">
        <v>53</v>
      </c>
      <c r="D786" t="s">
        <v>6</v>
      </c>
      <c r="E786" t="s">
        <v>7</v>
      </c>
      <c r="F786" t="s">
        <v>427</v>
      </c>
      <c r="G786" t="s">
        <v>424</v>
      </c>
      <c r="H786" s="1">
        <v>23740</v>
      </c>
      <c r="I786" s="1" t="s">
        <v>433</v>
      </c>
      <c r="J786" t="s">
        <v>445</v>
      </c>
      <c r="K786" s="12">
        <v>35.9</v>
      </c>
      <c r="L786" s="14">
        <f ca="1">TRUNC((TODAY()-TabelaBase[[#This Row],[Data Nascimento]])/365)</f>
        <v>61</v>
      </c>
      <c r="M786" s="14" t="str">
        <f ca="1">HLOOKUP(TabelaBase[[#This Row],[Idade]],$O$3:$R$4,2,TRUE)</f>
        <v>54-70</v>
      </c>
    </row>
    <row r="787" spans="2:13" x14ac:dyDescent="0.3">
      <c r="B787" s="11">
        <v>96730763444</v>
      </c>
      <c r="C787" t="s">
        <v>189</v>
      </c>
      <c r="D787" t="s">
        <v>5</v>
      </c>
      <c r="E787" t="s">
        <v>418</v>
      </c>
      <c r="F787" t="s">
        <v>427</v>
      </c>
      <c r="G787" t="s">
        <v>426</v>
      </c>
      <c r="H787" s="1">
        <v>27917</v>
      </c>
      <c r="I787" s="1" t="s">
        <v>433</v>
      </c>
      <c r="J787" t="s">
        <v>446</v>
      </c>
      <c r="K787" s="12">
        <v>9.9</v>
      </c>
      <c r="L787" s="14">
        <f ca="1">TRUNC((TODAY()-TabelaBase[[#This Row],[Data Nascimento]])/365)</f>
        <v>49</v>
      </c>
      <c r="M787" s="14" t="str">
        <f ca="1">HLOOKUP(TabelaBase[[#This Row],[Idade]],$O$3:$R$4,2,TRUE)</f>
        <v>44 - 54</v>
      </c>
    </row>
    <row r="788" spans="2:13" x14ac:dyDescent="0.3">
      <c r="B788" s="11">
        <v>96777910303</v>
      </c>
      <c r="C788" t="s">
        <v>87</v>
      </c>
      <c r="D788" t="s">
        <v>6</v>
      </c>
      <c r="E788" t="s">
        <v>7</v>
      </c>
      <c r="F788" t="s">
        <v>9</v>
      </c>
      <c r="G788" t="s">
        <v>425</v>
      </c>
      <c r="H788" s="1">
        <v>22684</v>
      </c>
      <c r="I788" s="1" t="s">
        <v>433</v>
      </c>
      <c r="J788" t="s">
        <v>444</v>
      </c>
      <c r="K788" s="12">
        <v>29.9</v>
      </c>
      <c r="L788" s="14">
        <f ca="1">TRUNC((TODAY()-TabelaBase[[#This Row],[Data Nascimento]])/365)</f>
        <v>63</v>
      </c>
      <c r="M788" s="14" t="str">
        <f ca="1">HLOOKUP(TabelaBase[[#This Row],[Idade]],$O$3:$R$4,2,TRUE)</f>
        <v>54-70</v>
      </c>
    </row>
    <row r="789" spans="2:13" x14ac:dyDescent="0.3">
      <c r="B789" s="11">
        <v>97043215141</v>
      </c>
      <c r="C789" t="s">
        <v>306</v>
      </c>
      <c r="D789" t="s">
        <v>6</v>
      </c>
      <c r="E789" t="s">
        <v>416</v>
      </c>
      <c r="F789" t="s">
        <v>11</v>
      </c>
      <c r="G789" t="s">
        <v>426</v>
      </c>
      <c r="H789" s="1">
        <v>29357</v>
      </c>
      <c r="I789" s="1" t="s">
        <v>433</v>
      </c>
      <c r="J789" t="s">
        <v>447</v>
      </c>
      <c r="K789" s="12">
        <v>79.900000000000006</v>
      </c>
      <c r="L789" s="14">
        <f ca="1">TRUNC((TODAY()-TabelaBase[[#This Row],[Data Nascimento]])/365)</f>
        <v>45</v>
      </c>
      <c r="M789" s="14" t="str">
        <f ca="1">HLOOKUP(TabelaBase[[#This Row],[Idade]],$O$3:$R$4,2,TRUE)</f>
        <v>44 - 54</v>
      </c>
    </row>
    <row r="790" spans="2:13" x14ac:dyDescent="0.3">
      <c r="B790" s="11">
        <v>97361141928</v>
      </c>
      <c r="C790" t="s">
        <v>383</v>
      </c>
      <c r="D790" t="s">
        <v>6</v>
      </c>
      <c r="E790" t="s">
        <v>7</v>
      </c>
      <c r="F790" t="s">
        <v>427</v>
      </c>
      <c r="G790" t="s">
        <v>424</v>
      </c>
      <c r="H790" s="1">
        <v>32123</v>
      </c>
      <c r="I790" s="1" t="s">
        <v>433</v>
      </c>
      <c r="J790" t="s">
        <v>444</v>
      </c>
      <c r="K790" s="12">
        <v>29.9</v>
      </c>
      <c r="L790" s="14">
        <f ca="1">TRUNC((TODAY()-TabelaBase[[#This Row],[Data Nascimento]])/365)</f>
        <v>38</v>
      </c>
      <c r="M790" s="14" t="str">
        <f ca="1">HLOOKUP(TabelaBase[[#This Row],[Idade]],$O$3:$R$4,2,TRUE)</f>
        <v>35 - 44</v>
      </c>
    </row>
    <row r="791" spans="2:13" x14ac:dyDescent="0.3">
      <c r="B791" s="11">
        <v>97520904627</v>
      </c>
      <c r="C791" t="s">
        <v>348</v>
      </c>
      <c r="D791" t="s">
        <v>6</v>
      </c>
      <c r="E791" t="s">
        <v>416</v>
      </c>
      <c r="F791" t="s">
        <v>13</v>
      </c>
      <c r="G791" t="s">
        <v>425</v>
      </c>
      <c r="H791" s="1">
        <v>28812</v>
      </c>
      <c r="I791" s="1" t="s">
        <v>433</v>
      </c>
      <c r="J791" t="s">
        <v>446</v>
      </c>
      <c r="K791" s="12">
        <v>9.9</v>
      </c>
      <c r="L791" s="14">
        <f ca="1">TRUNC((TODAY()-TabelaBase[[#This Row],[Data Nascimento]])/365)</f>
        <v>47</v>
      </c>
      <c r="M791" s="14" t="str">
        <f ca="1">HLOOKUP(TabelaBase[[#This Row],[Idade]],$O$3:$R$4,2,TRUE)</f>
        <v>44 - 54</v>
      </c>
    </row>
    <row r="792" spans="2:13" x14ac:dyDescent="0.3">
      <c r="B792" s="11">
        <v>97854794245</v>
      </c>
      <c r="C792" t="s">
        <v>176</v>
      </c>
      <c r="D792" t="s">
        <v>6</v>
      </c>
      <c r="E792" t="s">
        <v>7</v>
      </c>
      <c r="F792" t="s">
        <v>13</v>
      </c>
      <c r="G792" t="s">
        <v>426</v>
      </c>
      <c r="H792" s="1">
        <v>31566</v>
      </c>
      <c r="I792" s="1" t="s">
        <v>433</v>
      </c>
      <c r="J792" t="s">
        <v>444</v>
      </c>
      <c r="K792" s="12">
        <v>29.9</v>
      </c>
      <c r="L792" s="14">
        <f ca="1">TRUNC((TODAY()-TabelaBase[[#This Row],[Data Nascimento]])/365)</f>
        <v>39</v>
      </c>
      <c r="M792" s="14" t="str">
        <f ca="1">HLOOKUP(TabelaBase[[#This Row],[Idade]],$O$3:$R$4,2,TRUE)</f>
        <v>35 - 44</v>
      </c>
    </row>
    <row r="793" spans="2:13" x14ac:dyDescent="0.3">
      <c r="B793" s="11">
        <v>97867342326</v>
      </c>
      <c r="C793" t="s">
        <v>74</v>
      </c>
      <c r="D793" t="s">
        <v>5</v>
      </c>
      <c r="E793" t="s">
        <v>417</v>
      </c>
      <c r="F793" t="s">
        <v>13</v>
      </c>
      <c r="G793" t="s">
        <v>425</v>
      </c>
      <c r="H793" s="1">
        <v>32872</v>
      </c>
      <c r="I793" s="1" t="s">
        <v>433</v>
      </c>
      <c r="J793" t="s">
        <v>447</v>
      </c>
      <c r="K793" s="12">
        <v>79.900000000000006</v>
      </c>
      <c r="L793" s="14">
        <f ca="1">TRUNC((TODAY()-TabelaBase[[#This Row],[Data Nascimento]])/365)</f>
        <v>36</v>
      </c>
      <c r="M793" s="14" t="str">
        <f ca="1">HLOOKUP(TabelaBase[[#This Row],[Idade]],$O$3:$R$4,2,TRUE)</f>
        <v>35 - 44</v>
      </c>
    </row>
    <row r="794" spans="2:13" x14ac:dyDescent="0.3">
      <c r="B794" s="11">
        <v>97913428100</v>
      </c>
      <c r="C794" t="s">
        <v>388</v>
      </c>
      <c r="D794" t="s">
        <v>5</v>
      </c>
      <c r="E794" t="s">
        <v>416</v>
      </c>
      <c r="F794" t="s">
        <v>14</v>
      </c>
      <c r="G794" t="s">
        <v>425</v>
      </c>
      <c r="H794" s="1">
        <v>36451</v>
      </c>
      <c r="I794" s="1" t="s">
        <v>429</v>
      </c>
      <c r="J794" t="s">
        <v>444</v>
      </c>
      <c r="K794" s="12">
        <v>29.9</v>
      </c>
      <c r="L794" s="14">
        <f ca="1">TRUNC((TODAY()-TabelaBase[[#This Row],[Data Nascimento]])/365)</f>
        <v>26</v>
      </c>
      <c r="M794" s="14" t="str">
        <f ca="1">HLOOKUP(TabelaBase[[#This Row],[Idade]],$O$3:$R$4,2,TRUE)</f>
        <v>24-34</v>
      </c>
    </row>
    <row r="795" spans="2:13" x14ac:dyDescent="0.3">
      <c r="B795" s="11">
        <v>98024981881</v>
      </c>
      <c r="C795" t="s">
        <v>160</v>
      </c>
      <c r="D795" t="s">
        <v>5</v>
      </c>
      <c r="E795" t="s">
        <v>7</v>
      </c>
      <c r="F795" t="s">
        <v>14</v>
      </c>
      <c r="G795" t="s">
        <v>426</v>
      </c>
      <c r="H795" s="1">
        <v>24077</v>
      </c>
      <c r="I795" s="1" t="s">
        <v>432</v>
      </c>
      <c r="J795" t="s">
        <v>444</v>
      </c>
      <c r="K795" s="12">
        <v>29.9</v>
      </c>
      <c r="L795" s="14">
        <f ca="1">TRUNC((TODAY()-TabelaBase[[#This Row],[Data Nascimento]])/365)</f>
        <v>60</v>
      </c>
      <c r="M795" s="14" t="str">
        <f ca="1">HLOOKUP(TabelaBase[[#This Row],[Idade]],$O$3:$R$4,2,TRUE)</f>
        <v>54-70</v>
      </c>
    </row>
    <row r="796" spans="2:13" x14ac:dyDescent="0.3">
      <c r="B796" s="11">
        <v>98384039664</v>
      </c>
      <c r="C796" t="s">
        <v>154</v>
      </c>
      <c r="D796" t="s">
        <v>6</v>
      </c>
      <c r="E796" t="s">
        <v>417</v>
      </c>
      <c r="F796" t="s">
        <v>14</v>
      </c>
      <c r="G796" t="s">
        <v>425</v>
      </c>
      <c r="H796" s="1">
        <v>35468</v>
      </c>
      <c r="I796" s="1" t="s">
        <v>436</v>
      </c>
      <c r="J796" t="s">
        <v>444</v>
      </c>
      <c r="K796" s="12">
        <v>29.9</v>
      </c>
      <c r="L796" s="14">
        <f ca="1">TRUNC((TODAY()-TabelaBase[[#This Row],[Data Nascimento]])/365)</f>
        <v>28</v>
      </c>
      <c r="M796" s="14" t="str">
        <f ca="1">HLOOKUP(TabelaBase[[#This Row],[Idade]],$O$3:$R$4,2,TRUE)</f>
        <v>24-34</v>
      </c>
    </row>
    <row r="797" spans="2:13" x14ac:dyDescent="0.3">
      <c r="B797" s="11">
        <v>98413368768</v>
      </c>
      <c r="C797" t="s">
        <v>156</v>
      </c>
      <c r="D797" t="s">
        <v>6</v>
      </c>
      <c r="E797" t="s">
        <v>7</v>
      </c>
      <c r="F797" t="s">
        <v>13</v>
      </c>
      <c r="G797" t="s">
        <v>426</v>
      </c>
      <c r="H797" s="1">
        <v>34629</v>
      </c>
      <c r="I797" s="1" t="s">
        <v>436</v>
      </c>
      <c r="J797" t="s">
        <v>446</v>
      </c>
      <c r="K797" s="12">
        <v>9.9</v>
      </c>
      <c r="L797" s="14">
        <f ca="1">TRUNC((TODAY()-TabelaBase[[#This Row],[Data Nascimento]])/365)</f>
        <v>31</v>
      </c>
      <c r="M797" s="14" t="str">
        <f ca="1">HLOOKUP(TabelaBase[[#This Row],[Idade]],$O$3:$R$4,2,TRUE)</f>
        <v>24-34</v>
      </c>
    </row>
    <row r="798" spans="2:13" x14ac:dyDescent="0.3">
      <c r="B798" s="11">
        <v>98697109512</v>
      </c>
      <c r="C798" t="s">
        <v>411</v>
      </c>
      <c r="D798" t="s">
        <v>6</v>
      </c>
      <c r="E798" t="s">
        <v>416</v>
      </c>
      <c r="F798" t="s">
        <v>9</v>
      </c>
      <c r="G798" t="s">
        <v>424</v>
      </c>
      <c r="H798" s="1">
        <v>32523</v>
      </c>
      <c r="I798" s="1" t="s">
        <v>436</v>
      </c>
      <c r="J798" t="s">
        <v>446</v>
      </c>
      <c r="K798" s="12">
        <v>9.9</v>
      </c>
      <c r="L798" s="14">
        <f ca="1">TRUNC((TODAY()-TabelaBase[[#This Row],[Data Nascimento]])/365)</f>
        <v>37</v>
      </c>
      <c r="M798" s="14" t="str">
        <f ca="1">HLOOKUP(TabelaBase[[#This Row],[Idade]],$O$3:$R$4,2,TRUE)</f>
        <v>35 - 44</v>
      </c>
    </row>
    <row r="799" spans="2:13" x14ac:dyDescent="0.3">
      <c r="B799" s="11">
        <v>99005827580</v>
      </c>
      <c r="C799" t="s">
        <v>341</v>
      </c>
      <c r="D799" t="s">
        <v>5</v>
      </c>
      <c r="E799" t="s">
        <v>417</v>
      </c>
      <c r="F799" t="s">
        <v>427</v>
      </c>
      <c r="G799" t="s">
        <v>425</v>
      </c>
      <c r="H799" s="1">
        <v>25870</v>
      </c>
      <c r="I799" s="1" t="s">
        <v>436</v>
      </c>
      <c r="J799" t="s">
        <v>445</v>
      </c>
      <c r="K799" s="12">
        <v>35.9</v>
      </c>
      <c r="L799" s="14">
        <f ca="1">TRUNC((TODAY()-TabelaBase[[#This Row],[Data Nascimento]])/365)</f>
        <v>55</v>
      </c>
      <c r="M799" s="14" t="str">
        <f ca="1">HLOOKUP(TabelaBase[[#This Row],[Idade]],$O$3:$R$4,2,TRUE)</f>
        <v>54-70</v>
      </c>
    </row>
    <row r="800" spans="2:13" x14ac:dyDescent="0.3">
      <c r="B800" s="11">
        <v>99052709620</v>
      </c>
      <c r="C800" t="s">
        <v>284</v>
      </c>
      <c r="D800" t="s">
        <v>5</v>
      </c>
      <c r="E800" t="s">
        <v>418</v>
      </c>
      <c r="F800" t="s">
        <v>13</v>
      </c>
      <c r="G800" t="s">
        <v>425</v>
      </c>
      <c r="H800" s="1">
        <v>34192</v>
      </c>
      <c r="I800" s="1" t="s">
        <v>436</v>
      </c>
      <c r="J800" t="s">
        <v>446</v>
      </c>
      <c r="K800" s="12">
        <v>9.9</v>
      </c>
      <c r="L800" s="14">
        <f ca="1">TRUNC((TODAY()-TabelaBase[[#This Row],[Data Nascimento]])/365)</f>
        <v>32</v>
      </c>
      <c r="M800" s="14" t="str">
        <f ca="1">HLOOKUP(TabelaBase[[#This Row],[Idade]],$O$3:$R$4,2,TRUE)</f>
        <v>24-34</v>
      </c>
    </row>
    <row r="801" spans="2:13" x14ac:dyDescent="0.3">
      <c r="B801" s="11">
        <v>99391394012</v>
      </c>
      <c r="C801" t="s">
        <v>24</v>
      </c>
      <c r="D801" t="s">
        <v>5</v>
      </c>
      <c r="E801" t="s">
        <v>417</v>
      </c>
      <c r="F801" t="s">
        <v>13</v>
      </c>
      <c r="G801" t="s">
        <v>425</v>
      </c>
      <c r="H801" s="1">
        <v>36312</v>
      </c>
      <c r="I801" s="1" t="s">
        <v>436</v>
      </c>
      <c r="J801" t="s">
        <v>445</v>
      </c>
      <c r="K801" s="12">
        <v>35.9</v>
      </c>
      <c r="L801" s="14">
        <f ca="1">TRUNC((TODAY()-TabelaBase[[#This Row],[Data Nascimento]])/365)</f>
        <v>26</v>
      </c>
      <c r="M801" s="14" t="str">
        <f ca="1">HLOOKUP(TabelaBase[[#This Row],[Idade]],$O$3:$R$4,2,TRUE)</f>
        <v>24-34</v>
      </c>
    </row>
    <row r="802" spans="2:13" x14ac:dyDescent="0.3">
      <c r="B802" s="11">
        <v>99587124171</v>
      </c>
      <c r="C802" t="s">
        <v>296</v>
      </c>
      <c r="D802" t="s">
        <v>5</v>
      </c>
      <c r="E802" t="s">
        <v>7</v>
      </c>
      <c r="F802" t="s">
        <v>13</v>
      </c>
      <c r="G802" t="s">
        <v>426</v>
      </c>
      <c r="H802" s="1">
        <v>28112</v>
      </c>
      <c r="I802" s="1" t="s">
        <v>435</v>
      </c>
      <c r="J802" t="s">
        <v>444</v>
      </c>
      <c r="K802" s="12">
        <v>29.9</v>
      </c>
      <c r="L802" s="14">
        <f ca="1">TRUNC((TODAY()-TabelaBase[[#This Row],[Data Nascimento]])/365)</f>
        <v>49</v>
      </c>
      <c r="M802" s="14" t="str">
        <f ca="1">HLOOKUP(TabelaBase[[#This Row],[Idade]],$O$3:$R$4,2,TRUE)</f>
        <v>44 - 54</v>
      </c>
    </row>
    <row r="803" spans="2:13" x14ac:dyDescent="0.3">
      <c r="B803" s="11">
        <v>99659049071</v>
      </c>
      <c r="C803" t="s">
        <v>274</v>
      </c>
      <c r="D803" t="s">
        <v>6</v>
      </c>
      <c r="E803" t="s">
        <v>417</v>
      </c>
      <c r="F803" t="s">
        <v>14</v>
      </c>
      <c r="G803" t="s">
        <v>425</v>
      </c>
      <c r="H803" s="1">
        <v>35229</v>
      </c>
      <c r="I803" s="1" t="s">
        <v>433</v>
      </c>
      <c r="J803" t="s">
        <v>444</v>
      </c>
      <c r="K803" s="12">
        <v>29.9</v>
      </c>
      <c r="L803" s="14">
        <f ca="1">TRUNC((TODAY()-TabelaBase[[#This Row],[Data Nascimento]])/365)</f>
        <v>29</v>
      </c>
      <c r="M803" s="14" t="str">
        <f ca="1">HLOOKUP(TabelaBase[[#This Row],[Idade]],$O$3:$R$4,2,TRUE)</f>
        <v>24-34</v>
      </c>
    </row>
    <row r="804" spans="2:13" x14ac:dyDescent="0.3">
      <c r="B804" s="11">
        <v>99687496489</v>
      </c>
      <c r="C804" t="s">
        <v>312</v>
      </c>
      <c r="D804" t="s">
        <v>6</v>
      </c>
      <c r="E804" t="s">
        <v>8</v>
      </c>
      <c r="F804" t="s">
        <v>13</v>
      </c>
      <c r="G804" t="s">
        <v>425</v>
      </c>
      <c r="H804" s="1">
        <v>35163</v>
      </c>
      <c r="I804" s="1" t="s">
        <v>433</v>
      </c>
      <c r="J804" t="s">
        <v>445</v>
      </c>
      <c r="K804" s="12">
        <v>35.9</v>
      </c>
      <c r="L804" s="14">
        <f ca="1">TRUNC((TODAY()-TabelaBase[[#This Row],[Data Nascimento]])/365)</f>
        <v>29</v>
      </c>
      <c r="M804" s="14" t="str">
        <f ca="1">HLOOKUP(TabelaBase[[#This Row],[Idade]],$O$3:$R$4,2,TRUE)</f>
        <v>24-34</v>
      </c>
    </row>
  </sheetData>
  <sheetProtection algorithmName="SHA-512" hashValue="AfQYhTpnn1IrwtJNviGl99WgKWz4FUmBOqiK4itFs9bPZlJqZFvlsKac2KFaB3gZjK5A8adoJSm9eDrBls/dBQ==" saltValue="WgYErhQ49QDwSSj93zj8PA==" spinCount="100000" sheet="1" objects="1" scenarios="1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C5797-F41D-4E60-9BC6-4A116B7658FB}">
  <sheetPr>
    <tabColor theme="5"/>
  </sheetPr>
  <dimension ref="B4:AJ23"/>
  <sheetViews>
    <sheetView showGridLines="0" topLeftCell="O1" zoomScale="85" zoomScaleNormal="85" workbookViewId="0">
      <selection activeCell="V19" sqref="V19"/>
    </sheetView>
  </sheetViews>
  <sheetFormatPr defaultRowHeight="14.4" x14ac:dyDescent="0.3"/>
  <cols>
    <col min="1" max="1" width="1.6640625" customWidth="1"/>
    <col min="2" max="2" width="16.77734375" bestFit="1" customWidth="1"/>
    <col min="3" max="3" width="18.44140625" bestFit="1" customWidth="1"/>
    <col min="6" max="8" width="3.44140625" customWidth="1"/>
    <col min="9" max="10" width="18.88671875" bestFit="1" customWidth="1"/>
    <col min="11" max="11" width="9.6640625" bestFit="1" customWidth="1"/>
    <col min="12" max="12" width="10" bestFit="1" customWidth="1"/>
    <col min="13" max="14" width="2.44140625" customWidth="1"/>
    <col min="15" max="15" width="16.77734375" bestFit="1" customWidth="1"/>
    <col min="16" max="16" width="21.33203125" bestFit="1" customWidth="1"/>
    <col min="17" max="17" width="8.88671875" customWidth="1"/>
    <col min="19" max="20" width="1.77734375" customWidth="1"/>
    <col min="21" max="21" width="16.77734375" bestFit="1" customWidth="1"/>
    <col min="22" max="22" width="18" bestFit="1" customWidth="1"/>
    <col min="23" max="23" width="15" customWidth="1"/>
    <col min="25" max="26" width="2.21875" customWidth="1"/>
    <col min="27" max="27" width="19.6640625" bestFit="1" customWidth="1"/>
    <col min="28" max="28" width="20.5546875" bestFit="1" customWidth="1"/>
    <col min="31" max="32" width="2.88671875" customWidth="1"/>
    <col min="33" max="33" width="12.6640625" bestFit="1" customWidth="1"/>
    <col min="34" max="34" width="11.21875" bestFit="1" customWidth="1"/>
  </cols>
  <sheetData>
    <row r="4" spans="2:36" x14ac:dyDescent="0.3">
      <c r="B4" s="10" t="s">
        <v>438</v>
      </c>
      <c r="C4" s="10"/>
      <c r="D4" s="10"/>
      <c r="E4" s="10"/>
      <c r="I4" s="10" t="s">
        <v>439</v>
      </c>
      <c r="J4" s="10"/>
      <c r="K4" s="10"/>
      <c r="L4" s="10"/>
      <c r="O4" s="10" t="s">
        <v>440</v>
      </c>
      <c r="P4" s="10"/>
      <c r="Q4" s="10"/>
      <c r="R4" s="10"/>
      <c r="U4" s="10" t="s">
        <v>441</v>
      </c>
      <c r="V4" s="10"/>
      <c r="W4" s="10"/>
      <c r="X4" s="10"/>
      <c r="AA4" s="10" t="s">
        <v>442</v>
      </c>
      <c r="AB4" s="10"/>
      <c r="AC4" s="10"/>
      <c r="AD4" s="10"/>
      <c r="AG4" s="10" t="s">
        <v>443</v>
      </c>
      <c r="AH4" s="10"/>
      <c r="AI4" s="10"/>
      <c r="AJ4" s="10"/>
    </row>
    <row r="5" spans="2:36" x14ac:dyDescent="0.3">
      <c r="B5" s="16" t="s">
        <v>452</v>
      </c>
      <c r="C5" t="s">
        <v>454</v>
      </c>
      <c r="I5" s="16" t="s">
        <v>454</v>
      </c>
      <c r="J5" s="16" t="s">
        <v>455</v>
      </c>
      <c r="O5" s="16" t="s">
        <v>452</v>
      </c>
      <c r="P5" t="s">
        <v>456</v>
      </c>
      <c r="U5" s="16" t="s">
        <v>452</v>
      </c>
      <c r="V5" t="s">
        <v>457</v>
      </c>
      <c r="AA5" s="16" t="s">
        <v>452</v>
      </c>
      <c r="AB5" t="s">
        <v>458</v>
      </c>
      <c r="AG5" s="18" t="s">
        <v>459</v>
      </c>
      <c r="AH5" s="18" t="s">
        <v>460</v>
      </c>
    </row>
    <row r="6" spans="2:36" x14ac:dyDescent="0.3">
      <c r="B6" s="17" t="s">
        <v>5</v>
      </c>
      <c r="C6" s="8">
        <v>352</v>
      </c>
      <c r="I6" s="16" t="s">
        <v>452</v>
      </c>
      <c r="J6" s="26" t="s">
        <v>5</v>
      </c>
      <c r="K6" s="26" t="s">
        <v>6</v>
      </c>
      <c r="L6" s="26" t="s">
        <v>453</v>
      </c>
      <c r="O6" s="17" t="s">
        <v>446</v>
      </c>
      <c r="P6" s="8">
        <v>266</v>
      </c>
      <c r="U6" s="17" t="s">
        <v>425</v>
      </c>
      <c r="V6" s="8">
        <v>409</v>
      </c>
      <c r="AA6" s="17" t="s">
        <v>433</v>
      </c>
      <c r="AB6" s="8">
        <v>333</v>
      </c>
      <c r="AG6" s="27">
        <v>26467.800000000334</v>
      </c>
      <c r="AH6" s="28">
        <f>GETPIVOTDATA("Mesalidades",$AG$5)*12</f>
        <v>317613.60000000399</v>
      </c>
    </row>
    <row r="7" spans="2:36" x14ac:dyDescent="0.3">
      <c r="B7" s="17" t="s">
        <v>6</v>
      </c>
      <c r="C7" s="8">
        <v>450</v>
      </c>
      <c r="I7" s="17" t="s">
        <v>420</v>
      </c>
      <c r="J7" s="8">
        <v>44</v>
      </c>
      <c r="K7" s="8">
        <v>62</v>
      </c>
      <c r="L7" s="8">
        <v>106</v>
      </c>
      <c r="O7" s="17" t="s">
        <v>444</v>
      </c>
      <c r="P7" s="8">
        <v>232</v>
      </c>
      <c r="U7" s="17" t="s">
        <v>426</v>
      </c>
      <c r="V7" s="8">
        <v>216</v>
      </c>
      <c r="AA7" s="17" t="s">
        <v>436</v>
      </c>
      <c r="AB7" s="8">
        <v>190</v>
      </c>
    </row>
    <row r="8" spans="2:36" x14ac:dyDescent="0.3">
      <c r="I8" s="17" t="s">
        <v>421</v>
      </c>
      <c r="J8" s="8">
        <v>102</v>
      </c>
      <c r="K8" s="8">
        <v>116</v>
      </c>
      <c r="L8" s="8">
        <v>218</v>
      </c>
      <c r="O8" s="17" t="s">
        <v>445</v>
      </c>
      <c r="P8" s="8">
        <v>168</v>
      </c>
      <c r="U8" s="17" t="s">
        <v>424</v>
      </c>
      <c r="V8" s="8">
        <v>177</v>
      </c>
      <c r="AA8" s="17" t="s">
        <v>435</v>
      </c>
      <c r="AB8" s="8">
        <v>70</v>
      </c>
    </row>
    <row r="9" spans="2:36" x14ac:dyDescent="0.3">
      <c r="B9" s="6"/>
      <c r="C9" s="20" t="s">
        <v>461</v>
      </c>
      <c r="D9" s="20" t="s">
        <v>462</v>
      </c>
      <c r="E9" s="20" t="s">
        <v>463</v>
      </c>
      <c r="I9" s="17" t="s">
        <v>422</v>
      </c>
      <c r="J9" s="8">
        <v>91</v>
      </c>
      <c r="K9" s="8">
        <v>116</v>
      </c>
      <c r="L9" s="8">
        <v>207</v>
      </c>
      <c r="O9" s="17" t="s">
        <v>447</v>
      </c>
      <c r="P9" s="8">
        <v>136</v>
      </c>
      <c r="AA9" s="17" t="s">
        <v>430</v>
      </c>
      <c r="AB9" s="8">
        <v>69</v>
      </c>
    </row>
    <row r="10" spans="2:36" x14ac:dyDescent="0.3">
      <c r="B10" s="21" t="s">
        <v>5</v>
      </c>
      <c r="C10" s="15">
        <f>IFERROR(GETPIVOTDATA("Gênero",$B$5,"Gênero",B10),0)</f>
        <v>352</v>
      </c>
      <c r="D10" s="19">
        <f>C10/C12</f>
        <v>0.43890274314214461</v>
      </c>
      <c r="E10" s="22">
        <f>1-D10</f>
        <v>0.56109725685785539</v>
      </c>
      <c r="I10" s="17" t="s">
        <v>423</v>
      </c>
      <c r="J10" s="8">
        <v>115</v>
      </c>
      <c r="K10" s="8">
        <v>156</v>
      </c>
      <c r="L10" s="8">
        <v>271</v>
      </c>
      <c r="AA10" s="17" t="s">
        <v>429</v>
      </c>
      <c r="AB10" s="8">
        <v>47</v>
      </c>
    </row>
    <row r="11" spans="2:36" x14ac:dyDescent="0.3">
      <c r="B11" s="21" t="s">
        <v>6</v>
      </c>
      <c r="C11" s="15">
        <f>IFERROR(GETPIVOTDATA("Gênero",$B$5,"Gênero",B11),0)</f>
        <v>450</v>
      </c>
      <c r="D11" s="19">
        <f>C11/C12</f>
        <v>0.56109725685785539</v>
      </c>
      <c r="E11" s="22">
        <f>1-D11</f>
        <v>0.43890274314214461</v>
      </c>
      <c r="I11" s="17" t="s">
        <v>453</v>
      </c>
      <c r="J11" s="8">
        <v>352</v>
      </c>
      <c r="K11" s="8">
        <v>450</v>
      </c>
      <c r="L11" s="8">
        <v>802</v>
      </c>
      <c r="U11" s="17" t="s">
        <v>425</v>
      </c>
      <c r="V11">
        <f>GETPIVOTDATA("Região",$U$5,"Região",U11)</f>
        <v>409</v>
      </c>
      <c r="W11" s="23">
        <f>IFERROR(V11/SUM($V$11:$V$13),"- -")</f>
        <v>0.5099750623441397</v>
      </c>
      <c r="AA11" s="17" t="s">
        <v>432</v>
      </c>
      <c r="AB11" s="8">
        <v>47</v>
      </c>
    </row>
    <row r="12" spans="2:36" x14ac:dyDescent="0.3">
      <c r="B12" s="21" t="s">
        <v>461</v>
      </c>
      <c r="C12" s="15">
        <f>C10+C11</f>
        <v>802</v>
      </c>
      <c r="D12" s="15"/>
      <c r="E12" s="15"/>
      <c r="U12" s="17" t="s">
        <v>426</v>
      </c>
      <c r="V12">
        <f>GETPIVOTDATA("Região",$U$5,"Região",U12)</f>
        <v>216</v>
      </c>
      <c r="W12" s="23">
        <f t="shared" ref="W12:W13" si="0">IFERROR(V12/SUM($V$11:$V$13),"- -")</f>
        <v>0.26932668329177056</v>
      </c>
      <c r="AA12" s="17" t="s">
        <v>431</v>
      </c>
      <c r="AB12" s="8">
        <v>23</v>
      </c>
    </row>
    <row r="13" spans="2:36" x14ac:dyDescent="0.3">
      <c r="O13" t="str">
        <f t="shared" ref="O13:P16" si="1">O6</f>
        <v>Magic Box</v>
      </c>
      <c r="P13">
        <f t="shared" si="1"/>
        <v>266</v>
      </c>
      <c r="Q13" s="23">
        <f>P13/SUM($P$13:$P$16)</f>
        <v>0.33167082294264338</v>
      </c>
      <c r="U13" s="17" t="s">
        <v>424</v>
      </c>
      <c r="V13">
        <f>GETPIVOTDATA("Região",$U$5,"Região",U13)</f>
        <v>177</v>
      </c>
      <c r="W13" s="23">
        <f t="shared" si="0"/>
        <v>0.22069825436408977</v>
      </c>
      <c r="AA13" s="17" t="s">
        <v>434</v>
      </c>
      <c r="AB13" s="8">
        <v>23</v>
      </c>
    </row>
    <row r="14" spans="2:36" x14ac:dyDescent="0.3">
      <c r="O14" t="str">
        <f t="shared" si="1"/>
        <v>Safe Watch</v>
      </c>
      <c r="P14">
        <f t="shared" si="1"/>
        <v>232</v>
      </c>
      <c r="Q14" s="23">
        <f t="shared" ref="Q14:Q17" si="2">P14/SUM($P$13:$P$16)</f>
        <v>0.2892768079800499</v>
      </c>
    </row>
    <row r="15" spans="2:36" x14ac:dyDescent="0.3">
      <c r="O15" t="str">
        <f t="shared" si="1"/>
        <v>Deluxe Box</v>
      </c>
      <c r="P15">
        <f t="shared" si="1"/>
        <v>168</v>
      </c>
      <c r="Q15" s="23">
        <f t="shared" si="2"/>
        <v>0.20947630922693267</v>
      </c>
    </row>
    <row r="16" spans="2:36" x14ac:dyDescent="0.3">
      <c r="O16" t="str">
        <f t="shared" si="1"/>
        <v>Premium X</v>
      </c>
      <c r="P16">
        <f t="shared" si="1"/>
        <v>136</v>
      </c>
      <c r="Q16" s="23">
        <f t="shared" si="2"/>
        <v>0.16957605985037408</v>
      </c>
      <c r="AA16" t="str">
        <f>IF(AA6="","Não há dados",AA6)</f>
        <v>Produto Excelente</v>
      </c>
      <c r="AB16">
        <f>AB6</f>
        <v>333</v>
      </c>
    </row>
    <row r="17" spans="15:28" x14ac:dyDescent="0.3">
      <c r="O17" s="24" t="s">
        <v>461</v>
      </c>
      <c r="P17" s="24">
        <f>SUM(P13:P16)</f>
        <v>802</v>
      </c>
      <c r="Q17" s="25">
        <f t="shared" si="2"/>
        <v>1</v>
      </c>
      <c r="AA17" s="26" t="str">
        <f t="shared" ref="AA17:AA23" si="3">IF(AA7="","Não há dados",AA7)</f>
        <v>Atendimento Bom</v>
      </c>
      <c r="AB17">
        <f t="shared" ref="AB17" si="4">AB7</f>
        <v>190</v>
      </c>
    </row>
    <row r="18" spans="15:28" x14ac:dyDescent="0.3">
      <c r="AA18" s="26" t="str">
        <f t="shared" si="3"/>
        <v>Faltando Item</v>
      </c>
      <c r="AB18">
        <f t="shared" ref="AB18" si="5">AB8</f>
        <v>70</v>
      </c>
    </row>
    <row r="19" spans="15:28" x14ac:dyDescent="0.3">
      <c r="AA19" s="26" t="str">
        <f t="shared" si="3"/>
        <v>Atraso na Entrega</v>
      </c>
      <c r="AB19">
        <f t="shared" ref="AB19" si="6">AB9</f>
        <v>69</v>
      </c>
    </row>
    <row r="20" spans="15:28" x14ac:dyDescent="0.3">
      <c r="AA20" s="26" t="str">
        <f t="shared" si="3"/>
        <v>Suporte Ruim</v>
      </c>
      <c r="AB20">
        <f t="shared" ref="AB20" si="7">AB10</f>
        <v>47</v>
      </c>
    </row>
    <row r="21" spans="15:28" x14ac:dyDescent="0.3">
      <c r="AA21" s="26" t="str">
        <f t="shared" si="3"/>
        <v>Embalagem Danificada</v>
      </c>
      <c r="AB21">
        <f t="shared" ref="AB21" si="8">AB11</f>
        <v>47</v>
      </c>
    </row>
    <row r="22" spans="15:28" x14ac:dyDescent="0.3">
      <c r="AA22" s="26" t="str">
        <f t="shared" si="3"/>
        <v>Produto com defeito</v>
      </c>
      <c r="AB22">
        <f t="shared" ref="AB22" si="9">AB12</f>
        <v>23</v>
      </c>
    </row>
    <row r="23" spans="15:28" x14ac:dyDescent="0.3">
      <c r="AA23" s="26" t="str">
        <f t="shared" si="3"/>
        <v>Boa qualidade</v>
      </c>
      <c r="AB23">
        <f t="shared" ref="AB23" si="10">AB13</f>
        <v>23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EC6F6-B3E2-44AF-B406-D60B9ADCDA2F}">
  <sheetPr>
    <tabColor theme="8"/>
  </sheetPr>
  <dimension ref="A1:AI40"/>
  <sheetViews>
    <sheetView tabSelected="1" zoomScale="70" zoomScaleNormal="70" workbookViewId="0">
      <selection activeCell="AB22" sqref="AB22"/>
    </sheetView>
  </sheetViews>
  <sheetFormatPr defaultRowHeight="14.4" x14ac:dyDescent="0.3"/>
  <cols>
    <col min="5" max="5" width="8.88671875" customWidth="1"/>
  </cols>
  <sheetData>
    <row r="1" spans="1:35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6"/>
      <c r="Z1" s="6"/>
      <c r="AA1" s="6"/>
      <c r="AB1" s="6"/>
      <c r="AC1" s="6"/>
      <c r="AD1" s="6"/>
      <c r="AE1" s="4"/>
      <c r="AF1" s="4"/>
      <c r="AG1" s="4"/>
      <c r="AH1" s="4"/>
      <c r="AI1" s="4"/>
    </row>
    <row r="2" spans="1:35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/>
      <c r="Z2" s="6"/>
      <c r="AA2" s="6"/>
      <c r="AB2" s="6"/>
      <c r="AC2" s="6"/>
      <c r="AD2" s="6"/>
      <c r="AE2" s="4"/>
      <c r="AF2" s="4"/>
      <c r="AG2" s="4"/>
      <c r="AH2" s="4"/>
      <c r="AI2" s="4"/>
    </row>
    <row r="3" spans="1:35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6"/>
      <c r="Z3" s="6"/>
      <c r="AA3" s="6"/>
      <c r="AB3" s="6"/>
      <c r="AC3" s="6"/>
      <c r="AD3" s="6"/>
      <c r="AE3" s="4"/>
      <c r="AF3" s="4"/>
      <c r="AG3" s="4"/>
      <c r="AH3" s="4"/>
      <c r="AI3" s="4"/>
    </row>
    <row r="4" spans="1:35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6"/>
      <c r="Z4" s="6"/>
      <c r="AA4" s="6"/>
      <c r="AB4" s="6"/>
      <c r="AC4" s="6"/>
      <c r="AD4" s="6"/>
      <c r="AE4" s="4"/>
      <c r="AF4" s="4"/>
      <c r="AG4" s="4"/>
      <c r="AH4" s="4"/>
      <c r="AI4" s="4"/>
    </row>
    <row r="5" spans="1:35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6"/>
      <c r="Z5" s="6"/>
      <c r="AA5" s="6"/>
      <c r="AB5" s="6"/>
      <c r="AC5" s="6"/>
      <c r="AD5" s="6"/>
      <c r="AE5" s="4"/>
      <c r="AF5" s="4"/>
      <c r="AG5" s="4"/>
      <c r="AH5" s="4"/>
      <c r="AI5" s="4"/>
    </row>
    <row r="6" spans="1:35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6"/>
      <c r="Z6" s="6"/>
      <c r="AA6" s="6"/>
      <c r="AB6" s="6"/>
      <c r="AC6" s="6"/>
      <c r="AD6" s="6"/>
      <c r="AE6" s="4"/>
      <c r="AF6" s="4"/>
      <c r="AG6" s="4"/>
      <c r="AH6" s="4"/>
      <c r="AI6" s="4"/>
    </row>
    <row r="7" spans="1:35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6"/>
      <c r="Z7" s="6"/>
      <c r="AA7" s="6"/>
      <c r="AB7" s="6"/>
      <c r="AC7" s="6"/>
      <c r="AD7" s="6"/>
      <c r="AE7" s="4"/>
      <c r="AF7" s="4"/>
      <c r="AG7" s="4"/>
      <c r="AH7" s="4"/>
      <c r="AI7" s="4"/>
    </row>
    <row r="8" spans="1:35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6"/>
      <c r="Z8" s="6"/>
      <c r="AA8" s="6"/>
      <c r="AB8" s="6"/>
      <c r="AC8" s="6"/>
      <c r="AD8" s="6"/>
      <c r="AE8" s="4"/>
      <c r="AF8" s="4"/>
      <c r="AG8" s="4"/>
      <c r="AH8" s="4"/>
      <c r="AI8" s="4"/>
    </row>
    <row r="9" spans="1:35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6"/>
      <c r="Z9" s="6"/>
      <c r="AA9" s="6"/>
      <c r="AB9" s="6"/>
      <c r="AC9" s="6"/>
      <c r="AD9" s="6"/>
      <c r="AE9" s="4"/>
      <c r="AF9" s="4"/>
      <c r="AG9" s="4"/>
      <c r="AH9" s="4"/>
      <c r="AI9" s="4"/>
    </row>
    <row r="10" spans="1:35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6"/>
      <c r="Z10" s="6"/>
      <c r="AA10" s="6"/>
      <c r="AB10" s="6"/>
      <c r="AC10" s="6"/>
      <c r="AD10" s="6"/>
      <c r="AE10" s="4"/>
      <c r="AF10" s="4"/>
      <c r="AG10" s="4"/>
      <c r="AH10" s="4"/>
      <c r="AI10" s="4"/>
    </row>
    <row r="11" spans="1:35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6"/>
      <c r="Z11" s="6"/>
      <c r="AA11" s="6"/>
      <c r="AB11" s="6"/>
      <c r="AC11" s="6"/>
      <c r="AD11" s="6"/>
      <c r="AE11" s="4"/>
      <c r="AF11" s="4"/>
      <c r="AG11" s="4"/>
      <c r="AH11" s="4"/>
      <c r="AI11" s="4"/>
    </row>
    <row r="12" spans="1:35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6"/>
      <c r="Z12" s="6"/>
      <c r="AA12" s="6"/>
      <c r="AB12" s="6"/>
      <c r="AC12" s="6"/>
      <c r="AD12" s="6"/>
      <c r="AE12" s="4"/>
      <c r="AF12" s="4"/>
      <c r="AG12" s="4"/>
      <c r="AH12" s="4"/>
      <c r="AI12" s="4"/>
    </row>
    <row r="13" spans="1:35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6"/>
      <c r="Z13" s="6"/>
      <c r="AA13" s="6"/>
      <c r="AB13" s="6"/>
      <c r="AC13" s="6"/>
      <c r="AD13" s="6"/>
      <c r="AE13" s="4"/>
      <c r="AF13" s="4"/>
      <c r="AG13" s="4"/>
      <c r="AH13" s="4"/>
      <c r="AI13" s="4"/>
    </row>
    <row r="14" spans="1:35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6"/>
      <c r="Z14" s="6"/>
      <c r="AA14" s="6"/>
      <c r="AB14" s="6"/>
      <c r="AC14" s="6"/>
      <c r="AD14" s="6"/>
      <c r="AE14" s="4"/>
      <c r="AF14" s="4"/>
      <c r="AG14" s="4"/>
      <c r="AH14" s="4"/>
      <c r="AI14" s="4"/>
    </row>
    <row r="15" spans="1:35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Z15" s="6"/>
      <c r="AA15" s="6"/>
      <c r="AB15" s="6"/>
      <c r="AC15" s="6"/>
      <c r="AD15" s="6"/>
      <c r="AE15" s="4"/>
      <c r="AF15" s="4"/>
      <c r="AG15" s="4"/>
      <c r="AH15" s="4"/>
      <c r="AI15" s="4"/>
    </row>
    <row r="16" spans="1:35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6"/>
      <c r="Z16" s="6"/>
      <c r="AA16" s="6"/>
      <c r="AB16" s="6"/>
      <c r="AC16" s="6"/>
      <c r="AD16" s="6"/>
      <c r="AE16" s="4"/>
      <c r="AF16" s="4"/>
      <c r="AG16" s="4"/>
      <c r="AH16" s="4"/>
      <c r="AI16" s="4"/>
    </row>
    <row r="17" spans="1:35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6"/>
      <c r="Z17" s="6"/>
      <c r="AA17" s="6"/>
      <c r="AB17" s="6"/>
      <c r="AC17" s="6"/>
      <c r="AD17" s="6"/>
      <c r="AE17" s="4"/>
      <c r="AF17" s="4"/>
      <c r="AG17" s="4"/>
      <c r="AH17" s="4"/>
      <c r="AI17" s="4"/>
    </row>
    <row r="18" spans="1:35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6"/>
      <c r="Z18" s="6"/>
      <c r="AA18" s="6"/>
      <c r="AB18" s="6"/>
      <c r="AC18" s="6"/>
      <c r="AD18" s="6"/>
      <c r="AE18" s="4"/>
      <c r="AF18" s="4"/>
      <c r="AG18" s="4"/>
      <c r="AH18" s="4"/>
      <c r="AI18" s="4"/>
    </row>
    <row r="19" spans="1:35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6"/>
      <c r="Z19" s="6"/>
      <c r="AA19" s="6"/>
      <c r="AB19" s="6"/>
      <c r="AC19" s="6"/>
      <c r="AD19" s="6"/>
      <c r="AE19" s="4"/>
      <c r="AF19" s="4"/>
      <c r="AG19" s="4"/>
      <c r="AH19" s="4"/>
      <c r="AI19" s="4"/>
    </row>
    <row r="20" spans="1:35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6"/>
      <c r="Z20" s="6"/>
      <c r="AA20" s="6"/>
      <c r="AB20" s="6"/>
      <c r="AC20" s="6"/>
      <c r="AD20" s="6"/>
      <c r="AE20" s="4"/>
      <c r="AF20" s="4"/>
      <c r="AG20" s="4"/>
      <c r="AH20" s="4"/>
      <c r="AI20" s="4"/>
    </row>
    <row r="21" spans="1:35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6"/>
      <c r="Z21" s="6"/>
      <c r="AA21" s="6"/>
      <c r="AB21" s="6"/>
      <c r="AC21" s="6"/>
      <c r="AD21" s="6"/>
      <c r="AE21" s="4"/>
      <c r="AF21" s="4"/>
      <c r="AG21" s="4"/>
      <c r="AH21" s="4"/>
      <c r="AI21" s="4"/>
    </row>
    <row r="22" spans="1:35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6"/>
      <c r="Z22" s="6"/>
      <c r="AA22" s="6"/>
      <c r="AB22" s="6"/>
      <c r="AC22" s="6"/>
      <c r="AD22" s="6"/>
      <c r="AE22" s="4"/>
      <c r="AF22" s="4"/>
      <c r="AG22" s="4"/>
      <c r="AH22" s="4"/>
      <c r="AI22" s="4"/>
    </row>
    <row r="23" spans="1:35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6"/>
      <c r="Z23" s="6"/>
      <c r="AA23" s="6"/>
      <c r="AB23" s="6"/>
      <c r="AC23" s="6"/>
      <c r="AD23" s="6"/>
      <c r="AE23" s="4"/>
      <c r="AF23" s="4"/>
      <c r="AG23" s="4"/>
      <c r="AH23" s="4"/>
      <c r="AI23" s="4"/>
    </row>
    <row r="24" spans="1:35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6"/>
      <c r="Z24" s="6"/>
      <c r="AA24" s="6"/>
      <c r="AB24" s="6"/>
      <c r="AC24" s="6"/>
      <c r="AD24" s="6"/>
      <c r="AE24" s="4"/>
      <c r="AF24" s="4"/>
      <c r="AG24" s="4"/>
      <c r="AH24" s="4"/>
      <c r="AI24" s="4"/>
    </row>
    <row r="25" spans="1:35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6"/>
      <c r="Z25" s="6"/>
      <c r="AA25" s="6"/>
      <c r="AB25" s="6"/>
      <c r="AC25" s="6"/>
      <c r="AD25" s="6"/>
      <c r="AE25" s="4"/>
      <c r="AF25" s="4"/>
      <c r="AG25" s="4"/>
      <c r="AH25" s="4"/>
      <c r="AI25" s="4"/>
    </row>
    <row r="26" spans="1:35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6"/>
      <c r="Z26" s="6"/>
      <c r="AA26" s="6"/>
      <c r="AB26" s="6"/>
      <c r="AC26" s="6"/>
      <c r="AD26" s="6"/>
      <c r="AE26" s="4"/>
      <c r="AF26" s="4"/>
      <c r="AG26" s="4"/>
      <c r="AH26" s="4"/>
      <c r="AI26" s="4"/>
    </row>
    <row r="27" spans="1:35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6"/>
      <c r="Z27" s="6"/>
      <c r="AA27" s="6"/>
      <c r="AB27" s="6"/>
      <c r="AC27" s="6"/>
      <c r="AD27" s="6"/>
      <c r="AE27" s="4"/>
      <c r="AF27" s="4"/>
      <c r="AG27" s="4"/>
      <c r="AH27" s="4"/>
      <c r="AI27" s="4"/>
    </row>
    <row r="28" spans="1:35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6"/>
      <c r="Z28" s="6"/>
      <c r="AA28" s="6"/>
      <c r="AB28" s="6"/>
      <c r="AC28" s="6"/>
      <c r="AD28" s="6"/>
      <c r="AE28" s="4"/>
      <c r="AF28" s="4"/>
      <c r="AG28" s="4"/>
      <c r="AH28" s="4"/>
      <c r="AI28" s="4"/>
    </row>
    <row r="29" spans="1:35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6"/>
      <c r="Z29" s="6"/>
      <c r="AA29" s="6"/>
      <c r="AB29" s="6"/>
      <c r="AC29" s="6"/>
      <c r="AD29" s="6"/>
      <c r="AE29" s="4"/>
      <c r="AF29" s="4"/>
      <c r="AG29" s="4"/>
      <c r="AH29" s="4"/>
      <c r="AI29" s="4"/>
    </row>
    <row r="30" spans="1:35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6"/>
      <c r="Z30" s="6"/>
      <c r="AA30" s="6"/>
      <c r="AB30" s="6"/>
      <c r="AC30" s="6"/>
      <c r="AD30" s="6"/>
      <c r="AE30" s="4"/>
      <c r="AF30" s="4"/>
      <c r="AG30" s="4"/>
      <c r="AH30" s="4"/>
      <c r="AI30" s="4"/>
    </row>
    <row r="31" spans="1:35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6"/>
      <c r="Z31" s="6"/>
      <c r="AA31" s="6"/>
      <c r="AB31" s="6"/>
      <c r="AC31" s="6"/>
      <c r="AD31" s="6"/>
      <c r="AE31" s="4"/>
      <c r="AF31" s="4"/>
      <c r="AG31" s="4"/>
      <c r="AH31" s="4"/>
      <c r="AI31" s="4"/>
    </row>
    <row r="32" spans="1:35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6"/>
      <c r="Z32" s="6"/>
      <c r="AA32" s="6"/>
      <c r="AB32" s="6"/>
      <c r="AC32" s="6"/>
      <c r="AD32" s="6"/>
      <c r="AE32" s="4"/>
      <c r="AF32" s="4"/>
      <c r="AG32" s="4"/>
      <c r="AH32" s="4"/>
      <c r="AI32" s="4"/>
    </row>
    <row r="33" spans="1:35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6"/>
      <c r="Z33" s="6"/>
      <c r="AA33" s="6"/>
      <c r="AB33" s="6"/>
      <c r="AC33" s="6"/>
      <c r="AD33" s="6"/>
      <c r="AE33" s="4"/>
      <c r="AF33" s="4"/>
      <c r="AG33" s="4"/>
      <c r="AH33" s="4"/>
      <c r="AI33" s="4"/>
    </row>
    <row r="34" spans="1:35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6"/>
      <c r="Z34" s="6"/>
      <c r="AA34" s="6"/>
      <c r="AB34" s="6"/>
      <c r="AC34" s="6"/>
      <c r="AD34" s="6"/>
      <c r="AE34" s="4"/>
      <c r="AF34" s="4"/>
      <c r="AG34" s="4"/>
      <c r="AH34" s="4"/>
      <c r="AI34" s="4"/>
    </row>
    <row r="35" spans="1:35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6"/>
      <c r="Z35" s="6"/>
      <c r="AA35" s="6"/>
      <c r="AB35" s="6"/>
      <c r="AC35" s="6"/>
      <c r="AD35" s="6"/>
      <c r="AE35" s="4"/>
      <c r="AF35" s="4"/>
      <c r="AG35" s="4"/>
      <c r="AH35" s="4"/>
      <c r="AI35" s="4"/>
    </row>
    <row r="36" spans="1:35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6"/>
      <c r="Z36" s="6"/>
      <c r="AA36" s="6"/>
      <c r="AB36" s="6"/>
      <c r="AC36" s="6"/>
      <c r="AD36" s="6"/>
      <c r="AE36" s="4"/>
      <c r="AF36" s="4"/>
      <c r="AG36" s="4"/>
      <c r="AH36" s="4"/>
      <c r="AI36" s="4"/>
    </row>
    <row r="37" spans="1:35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6"/>
      <c r="Z37" s="6"/>
      <c r="AA37" s="6"/>
      <c r="AB37" s="6"/>
      <c r="AC37" s="6"/>
      <c r="AD37" s="6"/>
      <c r="AE37" s="4"/>
      <c r="AF37" s="4"/>
      <c r="AG37" s="4"/>
      <c r="AH37" s="4"/>
      <c r="AI37" s="4"/>
    </row>
    <row r="38" spans="1:35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6"/>
      <c r="Z38" s="6"/>
      <c r="AA38" s="6"/>
      <c r="AB38" s="6"/>
      <c r="AC38" s="6"/>
      <c r="AD38" s="6"/>
      <c r="AE38" s="4"/>
      <c r="AF38" s="4"/>
      <c r="AG38" s="4"/>
      <c r="AH38" s="4"/>
      <c r="AI38" s="4"/>
    </row>
    <row r="39" spans="1:35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6"/>
      <c r="Z39" s="6"/>
      <c r="AA39" s="6"/>
      <c r="AB39" s="6"/>
      <c r="AC39" s="6"/>
      <c r="AD39" s="6"/>
      <c r="AE39" s="4"/>
      <c r="AF39" s="4"/>
      <c r="AG39" s="4"/>
      <c r="AH39" s="4"/>
      <c r="AI39" s="4"/>
    </row>
    <row r="40" spans="1:35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</sheetData>
  <sheetProtection algorithmName="SHA-512" hashValue="uFIML2kZrto4uoDQz0ik+fgwDUuh5s/GEVB0U0yH2ncIBqsQzCSfwPtDSQ34OagqP6wDIMFIPDTkWX8LT0gbHA==" saltValue="XsPCGtWvo2pqdUHJ0myjWw==" spinCount="100000" sheet="1" objects="1" scenario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BaseAssinantes</vt:lpstr>
      <vt:lpstr>Análise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Fantin</dc:creator>
  <cp:lastModifiedBy>mike</cp:lastModifiedBy>
  <dcterms:created xsi:type="dcterms:W3CDTF">2024-03-18T18:37:37Z</dcterms:created>
  <dcterms:modified xsi:type="dcterms:W3CDTF">2026-01-12T15:52:51Z</dcterms:modified>
</cp:coreProperties>
</file>